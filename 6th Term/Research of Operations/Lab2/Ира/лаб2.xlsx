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University_Files\6th Term\Research of Operations\Lab2\Ира\"/>
    </mc:Choice>
  </mc:AlternateContent>
  <xr:revisionPtr revIDLastSave="0" documentId="13_ncr:1_{1B4DB98B-47EB-4A10-8A34-DB9F43B77C62}" xr6:coauthVersionLast="47" xr6:coauthVersionMax="47" xr10:uidLastSave="{00000000-0000-0000-0000-000000000000}"/>
  <bookViews>
    <workbookView minimized="1" xWindow="10860" yWindow="1824" windowWidth="12528" windowHeight="8964" xr2:uid="{F998B6B0-C1F8-40CD-9224-C028853F65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F18" i="1"/>
  <c r="E18" i="1"/>
  <c r="F14" i="1"/>
  <c r="E14" i="1"/>
  <c r="E10" i="1"/>
  <c r="F10" i="1"/>
  <c r="E9" i="1"/>
  <c r="F9" i="1"/>
  <c r="F7" i="1"/>
  <c r="E7" i="1"/>
  <c r="F6" i="1"/>
  <c r="E6" i="1"/>
  <c r="F4" i="1"/>
  <c r="F3" i="1"/>
  <c r="E4" i="1"/>
  <c r="E3" i="1"/>
  <c r="G2" i="1"/>
  <c r="F5" i="1" l="1"/>
  <c r="F16" i="1" s="1"/>
  <c r="F20" i="1"/>
  <c r="F13" i="1"/>
  <c r="G13" i="1" s="1"/>
  <c r="F34" i="1"/>
  <c r="G14" i="1"/>
  <c r="G18" i="1"/>
  <c r="F27" i="1"/>
  <c r="F30" i="1"/>
  <c r="G10" i="1"/>
  <c r="F23" i="1"/>
  <c r="E5" i="1"/>
  <c r="K11" i="1" s="1"/>
  <c r="G6" i="1"/>
  <c r="F12" i="1"/>
  <c r="G9" i="1"/>
  <c r="F8" i="1"/>
  <c r="G7" i="1"/>
  <c r="G4" i="1"/>
  <c r="G3" i="1"/>
  <c r="E8" i="1" l="1"/>
  <c r="G8" i="1" s="1"/>
  <c r="G5" i="1"/>
  <c r="E34" i="1"/>
  <c r="G34" i="1" s="1"/>
  <c r="E30" i="1"/>
  <c r="E27" i="1"/>
  <c r="E20" i="1"/>
  <c r="E23" i="1"/>
  <c r="G23" i="1" s="1"/>
  <c r="E16" i="1"/>
  <c r="E12" i="1"/>
  <c r="F21" i="1"/>
  <c r="F17" i="1"/>
  <c r="F22" i="1" s="1"/>
  <c r="F29" i="1" s="1"/>
  <c r="F24" i="1"/>
  <c r="G30" i="1" l="1"/>
  <c r="F28" i="1"/>
  <c r="F31" i="1"/>
  <c r="G27" i="1"/>
  <c r="G16" i="1"/>
  <c r="G19" i="1"/>
  <c r="F25" i="1"/>
  <c r="G20" i="1"/>
  <c r="E24" i="1"/>
  <c r="G24" i="1" s="1"/>
  <c r="E21" i="1"/>
  <c r="E17" i="1"/>
  <c r="G17" i="1" s="1"/>
  <c r="G12" i="1"/>
  <c r="G15" i="1"/>
  <c r="G21" i="1" l="1"/>
  <c r="E31" i="1"/>
  <c r="G31" i="1" s="1"/>
  <c r="E28" i="1"/>
  <c r="E25" i="1"/>
  <c r="G25" i="1" s="1"/>
  <c r="E22" i="1"/>
  <c r="E29" i="1" s="1"/>
  <c r="G29" i="1" s="1"/>
  <c r="F36" i="1"/>
  <c r="F52" i="1"/>
  <c r="F56" i="1"/>
  <c r="F44" i="1"/>
  <c r="F48" i="1"/>
  <c r="F32" i="1"/>
  <c r="F40" i="1"/>
  <c r="G22" i="1"/>
  <c r="K26" i="1"/>
  <c r="G28" i="1" l="1"/>
  <c r="E52" i="1"/>
  <c r="G52" i="1" s="1"/>
  <c r="E56" i="1"/>
  <c r="G56" i="1" s="1"/>
  <c r="E44" i="1"/>
  <c r="G44" i="1" s="1"/>
  <c r="E48" i="1"/>
  <c r="G48" i="1" s="1"/>
  <c r="E36" i="1"/>
  <c r="G36" i="1" s="1"/>
  <c r="G37" i="1" s="1"/>
  <c r="E40" i="1"/>
  <c r="G40" i="1" s="1"/>
  <c r="E32" i="1"/>
  <c r="G32" i="1" s="1"/>
  <c r="G33" i="1" s="1"/>
  <c r="F35" i="1"/>
  <c r="F38" i="1" s="1"/>
  <c r="F46" i="1" s="1"/>
  <c r="F39" i="1"/>
  <c r="F42" i="1" s="1"/>
  <c r="F43" i="1"/>
  <c r="E39" i="1" l="1"/>
  <c r="E43" i="1"/>
  <c r="E35" i="1"/>
  <c r="F47" i="1"/>
  <c r="F51" i="1"/>
  <c r="G35" i="1" l="1"/>
  <c r="E38" i="1"/>
  <c r="E42" i="1" s="1"/>
  <c r="E47" i="1"/>
  <c r="G43" i="1"/>
  <c r="E51" i="1"/>
  <c r="G51" i="1" s="1"/>
  <c r="F61" i="1"/>
  <c r="F58" i="1"/>
  <c r="F50" i="1"/>
  <c r="F54" i="1"/>
  <c r="G39" i="1"/>
  <c r="F62" i="1" l="1"/>
  <c r="F59" i="1"/>
  <c r="F55" i="1"/>
  <c r="F60" i="1" s="1"/>
  <c r="F63" i="1" s="1"/>
  <c r="G47" i="1"/>
  <c r="K45" i="1"/>
  <c r="G42" i="1"/>
  <c r="E46" i="1"/>
  <c r="G46" i="1" s="1"/>
  <c r="G49" i="1" s="1"/>
  <c r="G38" i="1"/>
  <c r="G41" i="1" s="1"/>
  <c r="E50" i="1" l="1"/>
  <c r="E58" i="1"/>
  <c r="G58" i="1" s="1"/>
  <c r="E61" i="1"/>
  <c r="G61" i="1" s="1"/>
  <c r="E54" i="1"/>
  <c r="G54" i="1" l="1"/>
  <c r="G57" i="1" s="1"/>
  <c r="G50" i="1"/>
  <c r="G53" i="1" s="1"/>
  <c r="E62" i="1"/>
  <c r="G62" i="1" s="1"/>
  <c r="E59" i="1"/>
  <c r="E55" i="1"/>
  <c r="G55" i="1" s="1"/>
  <c r="E60" i="1" l="1"/>
  <c r="G60" i="1" s="1"/>
  <c r="G59" i="1"/>
  <c r="E63" i="1"/>
  <c r="I64" i="1" l="1"/>
  <c r="G63" i="1"/>
</calcChain>
</file>

<file path=xl/sharedStrings.xml><?xml version="1.0" encoding="utf-8"?>
<sst xmlns="http://schemas.openxmlformats.org/spreadsheetml/2006/main" count="53" uniqueCount="15">
  <si>
    <t xml:space="preserve"> коорд.
№верш.</t>
  </si>
  <si>
    <t>x1</t>
  </si>
  <si>
    <t>x2</t>
  </si>
  <si>
    <t>W</t>
  </si>
  <si>
    <t>l</t>
  </si>
  <si>
    <t>Ɛ</t>
  </si>
  <si>
    <t>худшая точка</t>
  </si>
  <si>
    <t>лучшая точка</t>
  </si>
  <si>
    <t xml:space="preserve">симплекс качается,длина ребра = </t>
  </si>
  <si>
    <t xml:space="preserve">длина ребра = </t>
  </si>
  <si>
    <t>&gt; 1,5 - поиск продолжается</t>
  </si>
  <si>
    <t>&gt;1,5 - поиск продолжается</t>
  </si>
  <si>
    <t xml:space="preserve">симплекс качается,применяем сжатие,длина ребра = </t>
  </si>
  <si>
    <t>&lt;1,5 - поиск окончен</t>
  </si>
  <si>
    <t>вершина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</si>
</sst>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0" fontId="0" fillId="0" borderId="3" xfId="0" applyBorder="1"/>
    <xf numFmtId="0" fontId="0" fillId="0" borderId="2" xfId="0" applyFill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3C0E-6241-4EF4-A53A-5BA6D6B9E413}">
  <dimension ref="A1:S64"/>
  <sheetViews>
    <sheetView tabSelected="1" topLeftCell="C1" workbookViewId="0">
      <selection activeCell="K11" sqref="K11"/>
    </sheetView>
  </sheetViews>
  <sheetFormatPr defaultRowHeight="14.4" x14ac:dyDescent="0.3"/>
  <cols>
    <col min="1" max="1" width="8.5546875" bestFit="1" customWidth="1"/>
    <col min="17" max="18" width="9.5546875" bestFit="1" customWidth="1"/>
  </cols>
  <sheetData>
    <row r="1" spans="1:19" ht="28.8" x14ac:dyDescent="0.3">
      <c r="A1" t="s">
        <v>4</v>
      </c>
      <c r="B1">
        <v>4</v>
      </c>
      <c r="D1" s="1" t="s">
        <v>0</v>
      </c>
      <c r="E1" t="s">
        <v>1</v>
      </c>
      <c r="F1" t="s">
        <v>2</v>
      </c>
      <c r="G1" t="s">
        <v>3</v>
      </c>
      <c r="P1" t="s">
        <v>14</v>
      </c>
      <c r="Q1" t="s">
        <v>1</v>
      </c>
      <c r="R1" t="s">
        <v>2</v>
      </c>
      <c r="S1" t="s">
        <v>3</v>
      </c>
    </row>
    <row r="2" spans="1:19" x14ac:dyDescent="0.3">
      <c r="A2" s="2" t="s">
        <v>5</v>
      </c>
      <c r="B2">
        <v>1.5</v>
      </c>
      <c r="D2">
        <v>1</v>
      </c>
      <c r="E2">
        <v>10</v>
      </c>
      <c r="F2">
        <v>10</v>
      </c>
      <c r="G2">
        <f t="shared" ref="G2:G10" si="0">(E2+3*F2)^2+(F2+5)^2</f>
        <v>1825</v>
      </c>
      <c r="H2" t="s">
        <v>6</v>
      </c>
      <c r="P2">
        <v>1</v>
      </c>
      <c r="Q2" s="8">
        <v>10</v>
      </c>
      <c r="R2" s="8">
        <v>10</v>
      </c>
    </row>
    <row r="3" spans="1:19" x14ac:dyDescent="0.3">
      <c r="D3">
        <v>2</v>
      </c>
      <c r="E3">
        <f>B$1*(D3-1+SQRT(D3+1))/(D3*SQRT(2))</f>
        <v>3.8637033051562728</v>
      </c>
      <c r="F3">
        <f>B$1*(SQRT(D3+1)-1)/D3*SQRT(2)</f>
        <v>2.0705523608201659</v>
      </c>
      <c r="G3">
        <f t="shared" si="0"/>
        <v>151.50559762745678</v>
      </c>
      <c r="P3">
        <v>2</v>
      </c>
      <c r="Q3" s="8">
        <v>3.8637033051562728</v>
      </c>
      <c r="R3" s="8">
        <v>2.0705523608201659</v>
      </c>
    </row>
    <row r="4" spans="1:19" x14ac:dyDescent="0.3">
      <c r="D4" s="5">
        <v>3</v>
      </c>
      <c r="E4" s="3">
        <f>B$1*(D4-1+SQRT(D4+1))/(D4*SQRT(2))</f>
        <v>3.771236166328253</v>
      </c>
      <c r="F4" s="3">
        <f>B$1*(SQRT(D4+1)-1)/D4*SQRT(2)</f>
        <v>1.8856180831641267</v>
      </c>
      <c r="G4" s="3">
        <f t="shared" si="0"/>
        <v>136.3006252760857</v>
      </c>
      <c r="P4" s="5">
        <v>3</v>
      </c>
      <c r="Q4" s="8">
        <v>3.771236166328253</v>
      </c>
      <c r="R4" s="8">
        <v>1.8856180831641267</v>
      </c>
    </row>
    <row r="5" spans="1:19" x14ac:dyDescent="0.3">
      <c r="D5" s="4">
        <v>4</v>
      </c>
      <c r="E5">
        <f>E3+E4-E2</f>
        <v>-2.3650605285154747</v>
      </c>
      <c r="F5">
        <f>F3+F4-F2</f>
        <v>-6.0438295560157069</v>
      </c>
      <c r="G5" s="6">
        <f t="shared" si="0"/>
        <v>421.19810910912264</v>
      </c>
      <c r="H5" t="s">
        <v>6</v>
      </c>
      <c r="P5" s="4">
        <v>4</v>
      </c>
      <c r="Q5" s="8">
        <v>-2.3650605285154747</v>
      </c>
      <c r="R5" s="8">
        <v>-6.0438295560157069</v>
      </c>
    </row>
    <row r="6" spans="1:19" x14ac:dyDescent="0.3">
      <c r="D6" s="4">
        <v>2</v>
      </c>
      <c r="E6">
        <f>B$1*(D6-1+SQRT(D6+1))/(D6*SQRT(2))</f>
        <v>3.8637033051562728</v>
      </c>
      <c r="F6">
        <f>B$1*(SQRT(D6+1)-1)/D6*SQRT(2)</f>
        <v>2.0705523608201659</v>
      </c>
      <c r="G6">
        <f t="shared" si="0"/>
        <v>151.50559762745678</v>
      </c>
      <c r="P6" s="4">
        <v>2</v>
      </c>
      <c r="Q6" s="8">
        <v>3.8637033051562728</v>
      </c>
      <c r="R6" s="8">
        <v>2.0705523608201659</v>
      </c>
    </row>
    <row r="7" spans="1:19" x14ac:dyDescent="0.3">
      <c r="D7" s="7">
        <v>3</v>
      </c>
      <c r="E7" s="3">
        <f>B$1*(D7-1+SQRT(D7+1))/(D7*SQRT(2))</f>
        <v>3.771236166328253</v>
      </c>
      <c r="F7" s="3">
        <f>B$1*(SQRT(D7+1)-1)/D7*SQRT(2)</f>
        <v>1.8856180831641267</v>
      </c>
      <c r="G7" s="3">
        <f t="shared" si="0"/>
        <v>136.3006252760857</v>
      </c>
      <c r="P7" s="4">
        <v>3</v>
      </c>
      <c r="Q7" s="8">
        <v>3.771236166328253</v>
      </c>
      <c r="R7" s="8">
        <v>1.8856180831641267</v>
      </c>
    </row>
    <row r="8" spans="1:19" x14ac:dyDescent="0.3">
      <c r="D8" s="4">
        <v>5</v>
      </c>
      <c r="E8" s="4">
        <f>E6+E7-E5</f>
        <v>10</v>
      </c>
      <c r="F8" s="4">
        <f>F6+F7-F5</f>
        <v>10</v>
      </c>
      <c r="G8" s="4">
        <f t="shared" si="0"/>
        <v>1825</v>
      </c>
      <c r="H8" t="s">
        <v>6</v>
      </c>
      <c r="P8" s="4">
        <v>5</v>
      </c>
      <c r="Q8" s="8">
        <v>10</v>
      </c>
      <c r="R8" s="8">
        <v>10</v>
      </c>
    </row>
    <row r="9" spans="1:19" x14ac:dyDescent="0.3">
      <c r="D9" s="4">
        <v>2</v>
      </c>
      <c r="E9" s="4">
        <f>B$1*(D9-1+SQRT(D9+1))/(D9*SQRT(2))</f>
        <v>3.8637033051562728</v>
      </c>
      <c r="F9" s="4">
        <f>B$1*(SQRT(D9+1)-1)/D9*SQRT(2)</f>
        <v>2.0705523608201659</v>
      </c>
      <c r="G9" s="4">
        <f t="shared" si="0"/>
        <v>151.50559762745678</v>
      </c>
      <c r="P9" s="4">
        <v>2</v>
      </c>
      <c r="Q9" s="8">
        <v>3.8637033051562728</v>
      </c>
      <c r="R9" s="8">
        <v>2.0705523608201659</v>
      </c>
    </row>
    <row r="10" spans="1:19" x14ac:dyDescent="0.3">
      <c r="D10" s="7">
        <v>3</v>
      </c>
      <c r="E10" s="7">
        <f>B$1*(D10-1+SQRT(D10+1))/(D10*SQRT(2))</f>
        <v>3.771236166328253</v>
      </c>
      <c r="F10" s="7">
        <f>B$1*(SQRT(D10+1)-1)/D10*SQRT(2)</f>
        <v>1.8856180831641267</v>
      </c>
      <c r="G10" s="7">
        <f t="shared" si="0"/>
        <v>136.3006252760857</v>
      </c>
      <c r="H10" t="s">
        <v>7</v>
      </c>
      <c r="P10" s="4">
        <v>3</v>
      </c>
      <c r="Q10" s="8">
        <v>3.771236166328253</v>
      </c>
      <c r="R10" s="8">
        <v>1.8856180831641267</v>
      </c>
    </row>
    <row r="11" spans="1:19" x14ac:dyDescent="0.3">
      <c r="E11" t="s">
        <v>12</v>
      </c>
      <c r="K11">
        <f>SQRT((E5-E7)^2+(F5-F7)^2)</f>
        <v>10.02647879315788</v>
      </c>
      <c r="L11" t="s">
        <v>11</v>
      </c>
      <c r="P11">
        <v>4</v>
      </c>
      <c r="Q11" s="8">
        <v>0.70308781890638916</v>
      </c>
      <c r="R11" s="8">
        <v>-2.0791057364257899</v>
      </c>
    </row>
    <row r="12" spans="1:19" x14ac:dyDescent="0.3">
      <c r="D12">
        <v>4</v>
      </c>
      <c r="E12">
        <f>(E$5+E$7)/2</f>
        <v>0.70308781890638916</v>
      </c>
      <c r="F12">
        <f>(F$5+F$7)/2</f>
        <v>-2.0791057364257899</v>
      </c>
      <c r="G12">
        <f>(E12+3*F12)^2+(F12+5)^2</f>
        <v>39.159318244226682</v>
      </c>
      <c r="P12">
        <v>6</v>
      </c>
      <c r="Q12" s="8">
        <v>3.8174697357422627</v>
      </c>
      <c r="R12" s="8">
        <v>1.9780852219921463</v>
      </c>
    </row>
    <row r="13" spans="1:19" x14ac:dyDescent="0.3">
      <c r="D13">
        <v>6</v>
      </c>
      <c r="E13">
        <f>(E$6+E$7)/2</f>
        <v>3.8174697357422627</v>
      </c>
      <c r="F13">
        <f>(F$6+F$7)/2</f>
        <v>1.9780852219921463</v>
      </c>
      <c r="G13">
        <f>(E13+3*F13)^2+(F13+5)^2</f>
        <v>143.78982167591096</v>
      </c>
      <c r="H13" t="s">
        <v>6</v>
      </c>
      <c r="P13" s="5">
        <v>3</v>
      </c>
      <c r="Q13" s="8">
        <v>3.771236166328253</v>
      </c>
      <c r="R13" s="8">
        <v>1.8856180831641267</v>
      </c>
    </row>
    <row r="14" spans="1:19" x14ac:dyDescent="0.3">
      <c r="D14" s="3">
        <v>3</v>
      </c>
      <c r="E14" s="3">
        <f>B$1*(D14-1+SQRT(D14+1))/(D14*SQRT(2))</f>
        <v>3.771236166328253</v>
      </c>
      <c r="F14" s="3">
        <f>B$1*(SQRT(D14+1)-1)/D14*SQRT(2)</f>
        <v>1.8856180831641267</v>
      </c>
      <c r="G14" s="3">
        <f>(E14+3*F14)^2+(F14+5)^2</f>
        <v>136.3006252760857</v>
      </c>
      <c r="P14">
        <v>4</v>
      </c>
      <c r="Q14" s="8">
        <v>0.70308781890638916</v>
      </c>
      <c r="R14" s="8">
        <v>-2.0791057364257899</v>
      </c>
    </row>
    <row r="15" spans="1:19" x14ac:dyDescent="0.3">
      <c r="E15" t="s">
        <v>9</v>
      </c>
      <c r="G15" s="4">
        <f>SQRT((E13-E12)^2+(F13-F12)^2)</f>
        <v>5.1147016723346193</v>
      </c>
      <c r="H15" t="s">
        <v>10</v>
      </c>
      <c r="P15">
        <v>7</v>
      </c>
      <c r="Q15" s="8">
        <v>0.65685424949237969</v>
      </c>
      <c r="R15" s="8">
        <v>-2.1715728752538093</v>
      </c>
    </row>
    <row r="16" spans="1:19" x14ac:dyDescent="0.3">
      <c r="D16">
        <v>4</v>
      </c>
      <c r="E16">
        <f>(E$5+E$7)/2</f>
        <v>0.70308781890638916</v>
      </c>
      <c r="F16">
        <f>(F$5+F$7)/2</f>
        <v>-2.0791057364257899</v>
      </c>
      <c r="G16">
        <f>(E16+3*F16)^2+(F16+5)^2</f>
        <v>39.159318244226682</v>
      </c>
      <c r="P16" s="5">
        <v>3</v>
      </c>
      <c r="Q16" s="8">
        <v>3.771236166328253</v>
      </c>
      <c r="R16" s="8">
        <v>1.8856180831641267</v>
      </c>
    </row>
    <row r="17" spans="4:18" x14ac:dyDescent="0.3">
      <c r="D17">
        <v>7</v>
      </c>
      <c r="E17">
        <f>E$12+E$14-E$13</f>
        <v>0.65685424949237969</v>
      </c>
      <c r="F17">
        <f>F$12+F$14-F$13</f>
        <v>-2.1715728752538093</v>
      </c>
      <c r="G17">
        <f>(E17+3*F17)^2+(F17+5)^2</f>
        <v>42.314575050761974</v>
      </c>
      <c r="P17">
        <v>4</v>
      </c>
      <c r="Q17" s="8">
        <v>0.70308781890638916</v>
      </c>
      <c r="R17" s="8">
        <v>-2.0791057364257899</v>
      </c>
    </row>
    <row r="18" spans="4:18" x14ac:dyDescent="0.3">
      <c r="D18" s="3">
        <v>3</v>
      </c>
      <c r="E18" s="3">
        <f>B$1*(D18-1+SQRT(D18+1))/(D18*SQRT(2))</f>
        <v>3.771236166328253</v>
      </c>
      <c r="F18" s="3">
        <f>B$1*(SQRT(D18+1)-1)/D18*SQRT(2)</f>
        <v>1.8856180831641267</v>
      </c>
      <c r="G18" s="3">
        <f>(E18+3*F18)^2+(F18+5)^2</f>
        <v>136.3006252760857</v>
      </c>
      <c r="H18" t="s">
        <v>6</v>
      </c>
      <c r="P18">
        <v>5</v>
      </c>
      <c r="Q18" s="8">
        <v>0.65685424949237969</v>
      </c>
      <c r="R18" s="8">
        <v>-2.1715728752538093</v>
      </c>
    </row>
    <row r="19" spans="4:18" x14ac:dyDescent="0.3">
      <c r="E19" t="s">
        <v>9</v>
      </c>
      <c r="G19" s="4">
        <f>SQRT((E18-E16)^2+(F18-F16)^2)</f>
        <v>5.013239396578939</v>
      </c>
      <c r="H19" t="s">
        <v>10</v>
      </c>
      <c r="P19" s="5">
        <v>8</v>
      </c>
      <c r="Q19" s="8">
        <v>-2.4112940979294839</v>
      </c>
      <c r="R19" s="8">
        <v>-6.1362966948437254</v>
      </c>
    </row>
    <row r="20" spans="4:18" x14ac:dyDescent="0.3">
      <c r="D20">
        <v>4</v>
      </c>
      <c r="E20">
        <f>(E$5+E$7)/2</f>
        <v>0.70308781890638916</v>
      </c>
      <c r="F20">
        <f>(F$5+F$7)/2</f>
        <v>-2.0791057364257899</v>
      </c>
      <c r="G20">
        <f t="shared" ref="G20:G25" si="1">(E20+3*F20)^2+(F20+5)^2</f>
        <v>39.159318244226682</v>
      </c>
      <c r="P20">
        <v>4</v>
      </c>
      <c r="Q20" s="8">
        <v>0.70308781890638916</v>
      </c>
      <c r="R20" s="8">
        <v>-2.0791057364257899</v>
      </c>
    </row>
    <row r="21" spans="4:18" x14ac:dyDescent="0.3">
      <c r="D21">
        <v>5</v>
      </c>
      <c r="E21">
        <f>E$12+E$14-E$13</f>
        <v>0.65685424949237969</v>
      </c>
      <c r="F21">
        <f>F$12+F$14-F$13</f>
        <v>-2.1715728752538093</v>
      </c>
      <c r="G21">
        <f t="shared" si="1"/>
        <v>42.314575050761974</v>
      </c>
      <c r="P21">
        <v>5</v>
      </c>
      <c r="Q21" s="8">
        <v>0.65685424949237969</v>
      </c>
      <c r="R21" s="8">
        <v>-2.1715728752538093</v>
      </c>
    </row>
    <row r="22" spans="4:18" x14ac:dyDescent="0.3">
      <c r="D22" s="3">
        <v>8</v>
      </c>
      <c r="E22" s="3">
        <f>E16+E17-E18</f>
        <v>-2.4112940979294839</v>
      </c>
      <c r="F22" s="3">
        <f>F16+F17-F18</f>
        <v>-6.1362966948437254</v>
      </c>
      <c r="G22" s="3">
        <f t="shared" si="1"/>
        <v>434.77123957029789</v>
      </c>
      <c r="H22" t="s">
        <v>6</v>
      </c>
      <c r="P22">
        <v>9</v>
      </c>
      <c r="Q22" s="8">
        <v>3.7712361663282525</v>
      </c>
      <c r="R22" s="8">
        <v>1.8856180831641263</v>
      </c>
    </row>
    <row r="23" spans="4:18" x14ac:dyDescent="0.3">
      <c r="D23">
        <v>4</v>
      </c>
      <c r="E23">
        <f>(E$5+E$7)/2</f>
        <v>0.70308781890638916</v>
      </c>
      <c r="F23">
        <f>(F$5+F$7)/2</f>
        <v>-2.0791057364257899</v>
      </c>
      <c r="G23">
        <f t="shared" si="1"/>
        <v>39.159318244226682</v>
      </c>
      <c r="H23" t="s">
        <v>7</v>
      </c>
      <c r="P23">
        <v>4</v>
      </c>
      <c r="Q23" s="8">
        <v>0.70308781890638916</v>
      </c>
      <c r="R23" s="8">
        <v>-2.0791057364257899</v>
      </c>
    </row>
    <row r="24" spans="4:18" x14ac:dyDescent="0.3">
      <c r="D24">
        <v>5</v>
      </c>
      <c r="E24">
        <f>E$12+E$14-E$13</f>
        <v>0.65685424949237969</v>
      </c>
      <c r="F24">
        <f>F$12+F$14-F$13</f>
        <v>-2.1715728752538093</v>
      </c>
      <c r="G24">
        <f t="shared" si="1"/>
        <v>42.314575050761974</v>
      </c>
      <c r="P24">
        <v>5</v>
      </c>
      <c r="Q24" s="8">
        <v>0.67997103419938443</v>
      </c>
      <c r="R24" s="8">
        <v>-2.1253393058397996</v>
      </c>
    </row>
    <row r="25" spans="4:18" x14ac:dyDescent="0.3">
      <c r="D25">
        <v>9</v>
      </c>
      <c r="E25" s="3">
        <f>E20+E21-E22</f>
        <v>3.7712361663282525</v>
      </c>
      <c r="F25" s="3">
        <f>F20+F21-F22</f>
        <v>1.8856180831641263</v>
      </c>
      <c r="G25" s="3">
        <f t="shared" si="1"/>
        <v>136.30062527608564</v>
      </c>
      <c r="H25" t="s">
        <v>6</v>
      </c>
      <c r="P25" s="5">
        <v>10</v>
      </c>
      <c r="Q25" s="8">
        <v>-0.85410313951154737</v>
      </c>
      <c r="R25" s="8">
        <v>-4.1077012156347577</v>
      </c>
    </row>
    <row r="26" spans="4:18" x14ac:dyDescent="0.3">
      <c r="E26" t="s">
        <v>12</v>
      </c>
      <c r="K26">
        <f>SQRT((E22-E20)^2+(F22-F20)^2)</f>
        <v>5.1147016723346175</v>
      </c>
      <c r="L26" t="s">
        <v>11</v>
      </c>
      <c r="P26">
        <v>4</v>
      </c>
      <c r="Q26" s="8">
        <v>0.70308781890638916</v>
      </c>
      <c r="R26" s="8">
        <v>-2.0791057364257899</v>
      </c>
    </row>
    <row r="27" spans="4:18" x14ac:dyDescent="0.3">
      <c r="D27">
        <v>4</v>
      </c>
      <c r="E27">
        <f>(E$5+E$7)/2</f>
        <v>0.70308781890638916</v>
      </c>
      <c r="F27">
        <f>(F$5+F$7)/2</f>
        <v>-2.0791057364257899</v>
      </c>
      <c r="G27">
        <f t="shared" ref="G27:G32" si="2">(E27+3*F27)^2+(F27+5)^2</f>
        <v>39.159318244226682</v>
      </c>
      <c r="P27">
        <v>5</v>
      </c>
      <c r="Q27" s="8">
        <v>0.67997103419938443</v>
      </c>
      <c r="R27" s="8">
        <v>-2.1253393058397996</v>
      </c>
    </row>
    <row r="28" spans="4:18" x14ac:dyDescent="0.3">
      <c r="D28">
        <v>5</v>
      </c>
      <c r="E28">
        <f>(E$21+E$20)/2</f>
        <v>0.67997103419938443</v>
      </c>
      <c r="F28">
        <f>(F$21+F$20)/2</f>
        <v>-2.1253393058397996</v>
      </c>
      <c r="G28">
        <f t="shared" si="2"/>
        <v>40.70862420352924</v>
      </c>
      <c r="P28" s="5">
        <v>11</v>
      </c>
      <c r="Q28" s="8">
        <v>2.2371619926173212</v>
      </c>
      <c r="R28" s="8">
        <v>-9.6743826630832253E-2</v>
      </c>
    </row>
    <row r="29" spans="4:18" x14ac:dyDescent="0.3">
      <c r="D29" s="3">
        <v>10</v>
      </c>
      <c r="E29" s="3">
        <f>(E22+E20)/2</f>
        <v>-0.85410313951154737</v>
      </c>
      <c r="F29" s="3">
        <f>(F22+F20)/2</f>
        <v>-4.1077012156347577</v>
      </c>
      <c r="G29" s="3">
        <f t="shared" si="2"/>
        <v>174.4349758125428</v>
      </c>
      <c r="H29" t="s">
        <v>6</v>
      </c>
      <c r="P29">
        <v>4</v>
      </c>
      <c r="Q29" s="8">
        <v>0.70308781890638916</v>
      </c>
      <c r="R29" s="8">
        <v>-2.0791057364257899</v>
      </c>
    </row>
    <row r="30" spans="4:18" x14ac:dyDescent="0.3">
      <c r="D30">
        <v>4</v>
      </c>
      <c r="E30">
        <f>(E$5+E$7)/2</f>
        <v>0.70308781890638916</v>
      </c>
      <c r="F30">
        <f>(F$5+F$7)/2</f>
        <v>-2.0791057364257899</v>
      </c>
      <c r="G30">
        <f t="shared" si="2"/>
        <v>39.159318244226682</v>
      </c>
      <c r="P30">
        <v>12</v>
      </c>
      <c r="Q30" s="8">
        <v>2.2602787773243258</v>
      </c>
      <c r="R30" s="8">
        <v>-5.0510257216822563E-2</v>
      </c>
    </row>
    <row r="31" spans="4:18" x14ac:dyDescent="0.3">
      <c r="D31">
        <v>5</v>
      </c>
      <c r="E31">
        <f>(E$21+E$20)/2</f>
        <v>0.67997103419938443</v>
      </c>
      <c r="F31">
        <f>(F$21+F$20)/2</f>
        <v>-2.1253393058397996</v>
      </c>
      <c r="G31">
        <f t="shared" si="2"/>
        <v>40.70862420352924</v>
      </c>
      <c r="H31" t="s">
        <v>6</v>
      </c>
      <c r="P31" s="5">
        <v>11</v>
      </c>
      <c r="Q31" s="8">
        <v>2.2371619926173212</v>
      </c>
      <c r="R31" s="8">
        <v>-9.6743826630832253E-2</v>
      </c>
    </row>
    <row r="32" spans="4:18" x14ac:dyDescent="0.3">
      <c r="D32" s="3">
        <v>11</v>
      </c>
      <c r="E32" s="3">
        <f>E$27+E$28-E$29</f>
        <v>2.2371619926173212</v>
      </c>
      <c r="F32" s="3">
        <f>F$27+F$28-F$29</f>
        <v>-9.6743826630832253E-2</v>
      </c>
      <c r="G32" s="3">
        <f t="shared" si="2"/>
        <v>27.8324595230618</v>
      </c>
      <c r="P32">
        <v>13</v>
      </c>
      <c r="Q32" s="8">
        <v>3.7943529510352585</v>
      </c>
      <c r="R32" s="8">
        <v>1.9318516525781351</v>
      </c>
    </row>
    <row r="33" spans="4:18" x14ac:dyDescent="0.3">
      <c r="E33" t="s">
        <v>9</v>
      </c>
      <c r="G33" s="4">
        <f>SQRT((G31-G32)^2+(G31-G32)^2)</f>
        <v>18.209646722466484</v>
      </c>
      <c r="H33" t="s">
        <v>11</v>
      </c>
      <c r="P33">
        <v>12</v>
      </c>
      <c r="Q33" s="8">
        <v>2.2602787773243258</v>
      </c>
      <c r="R33" s="8">
        <v>-5.0510257216822563E-2</v>
      </c>
    </row>
    <row r="34" spans="4:18" x14ac:dyDescent="0.3">
      <c r="D34">
        <v>4</v>
      </c>
      <c r="E34">
        <f>(E$5+E$7)/2</f>
        <v>0.70308781890638916</v>
      </c>
      <c r="F34">
        <f>(F$5+F$7)/2</f>
        <v>-2.0791057364257899</v>
      </c>
      <c r="G34">
        <f>(E34+3*F34)^2+(F34+5)^2</f>
        <v>39.159318244226682</v>
      </c>
      <c r="H34" t="s">
        <v>6</v>
      </c>
      <c r="P34" s="5">
        <v>11</v>
      </c>
      <c r="Q34" s="8">
        <v>2.2371619926173212</v>
      </c>
      <c r="R34" s="8">
        <v>-9.6743826630832253E-2</v>
      </c>
    </row>
    <row r="35" spans="4:18" x14ac:dyDescent="0.3">
      <c r="D35">
        <v>12</v>
      </c>
      <c r="E35">
        <f>E$30+E$32-E$31</f>
        <v>2.2602787773243258</v>
      </c>
      <c r="F35">
        <f>F$30+F$32-F$31</f>
        <v>-5.0510257216822563E-2</v>
      </c>
      <c r="G35">
        <f>(E35+3*F35)^2+(F35+5)^2</f>
        <v>28.944266865349356</v>
      </c>
      <c r="P35">
        <v>14</v>
      </c>
      <c r="Q35" s="8">
        <v>0.70308781890638894</v>
      </c>
      <c r="R35" s="8">
        <v>-2.0791057364257899</v>
      </c>
    </row>
    <row r="36" spans="4:18" x14ac:dyDescent="0.3">
      <c r="D36" s="3">
        <v>11</v>
      </c>
      <c r="E36" s="3">
        <f>E$27+E$28-E$29</f>
        <v>2.2371619926173212</v>
      </c>
      <c r="F36" s="3">
        <f>F$27+F$28-F$29</f>
        <v>-9.6743826630832253E-2</v>
      </c>
      <c r="G36" s="3">
        <f>(E36+3*F36)^2+(F36+5)^2</f>
        <v>27.8324595230618</v>
      </c>
      <c r="P36">
        <v>12</v>
      </c>
      <c r="Q36" s="8">
        <v>2.2602787773243258</v>
      </c>
      <c r="R36" s="8">
        <v>-5.0510257216822563E-2</v>
      </c>
    </row>
    <row r="37" spans="4:18" x14ac:dyDescent="0.3">
      <c r="E37" t="s">
        <v>9</v>
      </c>
      <c r="G37" s="4">
        <f>SQRT((G34-G36)^2+(G34-G36)^2)</f>
        <v>16.018597222555346</v>
      </c>
      <c r="H37" t="s">
        <v>11</v>
      </c>
      <c r="P37" s="5">
        <v>11</v>
      </c>
      <c r="Q37" s="8">
        <v>2.2371619926173212</v>
      </c>
      <c r="R37" s="8">
        <v>-9.6743826630832253E-2</v>
      </c>
    </row>
    <row r="38" spans="4:18" x14ac:dyDescent="0.3">
      <c r="D38">
        <v>13</v>
      </c>
      <c r="E38">
        <f>E35+E36-E34</f>
        <v>3.7943529510352585</v>
      </c>
      <c r="F38">
        <f>F35+F36-F34</f>
        <v>1.9318516525781351</v>
      </c>
      <c r="G38">
        <f>(E38+3*F38)^2+(F38+5)^2</f>
        <v>140.01690103203319</v>
      </c>
      <c r="H38" t="s">
        <v>6</v>
      </c>
      <c r="P38">
        <v>15</v>
      </c>
      <c r="Q38" s="8">
        <v>3.0157574718262898</v>
      </c>
      <c r="R38" s="8">
        <v>0.91755391297365141</v>
      </c>
    </row>
    <row r="39" spans="4:18" x14ac:dyDescent="0.3">
      <c r="D39">
        <v>12</v>
      </c>
      <c r="E39">
        <f>E$30+E$32-E$31</f>
        <v>2.2602787773243258</v>
      </c>
      <c r="F39">
        <f>F$30+F$32-F$31</f>
        <v>-5.0510257216822563E-2</v>
      </c>
      <c r="G39">
        <f>(E39+3*F39)^2+(F39+5)^2</f>
        <v>28.944266865349356</v>
      </c>
      <c r="P39">
        <v>12</v>
      </c>
      <c r="Q39" s="8">
        <v>2.2487203849708237</v>
      </c>
      <c r="R39" s="8">
        <v>-7.3627041923827408E-2</v>
      </c>
    </row>
    <row r="40" spans="4:18" x14ac:dyDescent="0.3">
      <c r="D40" s="3">
        <v>11</v>
      </c>
      <c r="E40" s="3">
        <f>E$27+E$28-E$29</f>
        <v>2.2371619926173212</v>
      </c>
      <c r="F40" s="3">
        <f>F$27+F$28-F$29</f>
        <v>-9.6743826630832253E-2</v>
      </c>
      <c r="G40" s="3">
        <f>(E40+3*F40)^2+(F40+5)^2</f>
        <v>27.8324595230618</v>
      </c>
      <c r="P40" s="5">
        <v>11</v>
      </c>
      <c r="Q40" s="8">
        <v>2.2371619926173212</v>
      </c>
      <c r="R40" s="8">
        <v>-9.6743826630832253E-2</v>
      </c>
    </row>
    <row r="41" spans="4:18" x14ac:dyDescent="0.3">
      <c r="E41" t="s">
        <v>9</v>
      </c>
      <c r="G41" s="4">
        <f>SQRT((G38-G40)^2+(G38-G40)^2)</f>
        <v>158.65275866923855</v>
      </c>
      <c r="H41" t="s">
        <v>11</v>
      </c>
      <c r="P41">
        <v>16</v>
      </c>
      <c r="Q41" s="8">
        <v>1.4701249057618551</v>
      </c>
      <c r="R41" s="8">
        <v>-1.0879247815283111</v>
      </c>
    </row>
    <row r="42" spans="4:18" x14ac:dyDescent="0.3">
      <c r="D42">
        <v>14</v>
      </c>
      <c r="E42">
        <f>E39+E40-E38</f>
        <v>0.70308781890638894</v>
      </c>
      <c r="F42">
        <f>F40+F39-F38</f>
        <v>-2.0791057364257899</v>
      </c>
      <c r="G42">
        <f>(E42+3*F42)^2+(F42+5)^2</f>
        <v>39.159318244226682</v>
      </c>
      <c r="H42" t="s">
        <v>6</v>
      </c>
      <c r="P42">
        <v>12</v>
      </c>
      <c r="Q42" s="8">
        <v>2.2487203849708237</v>
      </c>
      <c r="R42" s="8">
        <v>-7.3627041923827408E-2</v>
      </c>
    </row>
    <row r="43" spans="4:18" x14ac:dyDescent="0.3">
      <c r="D43">
        <v>12</v>
      </c>
      <c r="E43">
        <f>E$30+E$32-E$31</f>
        <v>2.2602787773243258</v>
      </c>
      <c r="F43">
        <f>F$30+F$32-F$31</f>
        <v>-5.0510257216822563E-2</v>
      </c>
      <c r="G43">
        <f>(E43+3*F43)^2+(F43+5)^2</f>
        <v>28.944266865349356</v>
      </c>
      <c r="P43" s="5">
        <v>11</v>
      </c>
      <c r="Q43" s="8">
        <v>2.2371619926173212</v>
      </c>
      <c r="R43" s="8">
        <v>-9.6743826630832253E-2</v>
      </c>
    </row>
    <row r="44" spans="4:18" x14ac:dyDescent="0.3">
      <c r="D44" s="3">
        <v>11</v>
      </c>
      <c r="E44" s="3">
        <f>E$27+E$28-E$29</f>
        <v>2.2371619926173212</v>
      </c>
      <c r="F44" s="3">
        <f>F$27+F$28-F$29</f>
        <v>-9.6743826630832253E-2</v>
      </c>
      <c r="G44" s="3">
        <f>(E44+3*F44)^2+(F44+5)^2</f>
        <v>27.8324595230618</v>
      </c>
      <c r="P44">
        <v>16</v>
      </c>
      <c r="Q44" s="8">
        <v>1.4701249057618551</v>
      </c>
      <c r="R44" s="8">
        <v>-1.0879247815283111</v>
      </c>
    </row>
    <row r="45" spans="4:18" x14ac:dyDescent="0.3">
      <c r="E45" t="s">
        <v>12</v>
      </c>
      <c r="K45">
        <f>SQRT((E42-E44)^2+(F42-F44)^2)</f>
        <v>2.5066196982894695</v>
      </c>
      <c r="L45" t="s">
        <v>11</v>
      </c>
      <c r="P45">
        <v>17</v>
      </c>
      <c r="Q45" s="8">
        <v>1.4585665134083525</v>
      </c>
      <c r="R45" s="8">
        <v>-1.1110415662353159</v>
      </c>
    </row>
    <row r="46" spans="4:18" x14ac:dyDescent="0.3">
      <c r="D46">
        <v>15</v>
      </c>
      <c r="E46">
        <f>(E38+E40)/2</f>
        <v>3.0157574718262898</v>
      </c>
      <c r="F46">
        <f>(F38+F40)/2</f>
        <v>0.91755391297365141</v>
      </c>
      <c r="G46" s="5">
        <f>(E46+3*F46)^2+(F46+5)^2</f>
        <v>68.292104503867634</v>
      </c>
      <c r="H46" t="s">
        <v>6</v>
      </c>
      <c r="P46" s="5">
        <v>11</v>
      </c>
      <c r="Q46" s="8">
        <v>2.2371619926173212</v>
      </c>
      <c r="R46" s="8">
        <v>-9.6743826630832253E-2</v>
      </c>
    </row>
    <row r="47" spans="4:18" x14ac:dyDescent="0.3">
      <c r="D47">
        <v>12</v>
      </c>
      <c r="E47">
        <f>(E$43+E$44)/2</f>
        <v>2.2487203849708237</v>
      </c>
      <c r="F47">
        <f>(F$43+F$44)/2</f>
        <v>-7.3627041923827408E-2</v>
      </c>
      <c r="G47" s="5">
        <f>(E47+3*F47)^2+(F47+5)^2</f>
        <v>28.381282583214315</v>
      </c>
      <c r="P47">
        <v>16</v>
      </c>
      <c r="Q47" s="8">
        <v>1.4701249057618551</v>
      </c>
      <c r="R47" s="8">
        <v>-1.0879247815283111</v>
      </c>
    </row>
    <row r="48" spans="4:18" x14ac:dyDescent="0.3">
      <c r="D48" s="3">
        <v>11</v>
      </c>
      <c r="E48" s="3">
        <f>E$27+E$28-E$29</f>
        <v>2.2371619926173212</v>
      </c>
      <c r="F48" s="3">
        <f>F$27+F$28-F$29</f>
        <v>-9.6743826630832253E-2</v>
      </c>
      <c r="G48" s="3">
        <f>(E48+3*F48)^2+(F48+5)^2</f>
        <v>27.8324595230618</v>
      </c>
      <c r="P48">
        <v>17</v>
      </c>
      <c r="Q48" s="8">
        <v>1.4585665134083525</v>
      </c>
      <c r="R48" s="8">
        <v>-1.1110415662353159</v>
      </c>
    </row>
    <row r="49" spans="4:18" x14ac:dyDescent="0.3">
      <c r="E49" t="s">
        <v>9</v>
      </c>
      <c r="G49" s="4">
        <f>SQRT((G46-G48)^2+(G46-G48)^2)</f>
        <v>57.218578660656135</v>
      </c>
      <c r="H49" t="s">
        <v>11</v>
      </c>
      <c r="P49" s="5">
        <v>18</v>
      </c>
      <c r="Q49" s="8">
        <v>0.69152942655288641</v>
      </c>
      <c r="R49" s="8">
        <v>-2.102222521132795</v>
      </c>
    </row>
    <row r="50" spans="4:18" x14ac:dyDescent="0.3">
      <c r="D50">
        <v>16</v>
      </c>
      <c r="E50">
        <f>E$47+E$48-E$46</f>
        <v>1.4701249057618551</v>
      </c>
      <c r="F50">
        <f>F$47+F$48-F$46</f>
        <v>-1.0879247815283111</v>
      </c>
      <c r="G50" s="5">
        <f>(E50+3*F50)^2+(F50+5)^2</f>
        <v>18.521510824370658</v>
      </c>
      <c r="P50">
        <v>16</v>
      </c>
      <c r="Q50" s="8">
        <v>1.4701249057618551</v>
      </c>
      <c r="R50" s="8">
        <v>-1.0879247815283111</v>
      </c>
    </row>
    <row r="51" spans="4:18" x14ac:dyDescent="0.3">
      <c r="D51">
        <v>12</v>
      </c>
      <c r="E51">
        <f>(E$43+E$44)/2</f>
        <v>2.2487203849708237</v>
      </c>
      <c r="F51">
        <f>(F$43+F$44)/2</f>
        <v>-7.3627041923827408E-2</v>
      </c>
      <c r="G51" s="5">
        <f>(E51+3*F51)^2+(F51+5)^2</f>
        <v>28.381282583214315</v>
      </c>
      <c r="H51" t="s">
        <v>6</v>
      </c>
      <c r="P51">
        <v>17</v>
      </c>
      <c r="Q51" s="8">
        <v>1.4585665134083525</v>
      </c>
      <c r="R51" s="8">
        <v>-1.1110415662353159</v>
      </c>
    </row>
    <row r="52" spans="4:18" x14ac:dyDescent="0.3">
      <c r="D52" s="3">
        <v>11</v>
      </c>
      <c r="E52" s="3">
        <f>E$27+E$28-E$29</f>
        <v>2.2371619926173212</v>
      </c>
      <c r="F52" s="3">
        <f>F$27+F$28-F$29</f>
        <v>-9.6743826630832253E-2</v>
      </c>
      <c r="G52" s="3">
        <f>(E52+3*F52)^2+(F52+5)^2</f>
        <v>27.8324595230618</v>
      </c>
      <c r="P52" s="5">
        <v>19</v>
      </c>
      <c r="Q52" s="8">
        <v>2.2371619926173212</v>
      </c>
      <c r="R52" s="8">
        <v>-9.6743826630832253E-2</v>
      </c>
    </row>
    <row r="53" spans="4:18" x14ac:dyDescent="0.3">
      <c r="E53" t="s">
        <v>9</v>
      </c>
      <c r="G53" s="4">
        <f>SQRT((G51-G50)^2+(G51-G50)^2)</f>
        <v>13.943822943259924</v>
      </c>
      <c r="H53" t="s">
        <v>11</v>
      </c>
    </row>
    <row r="54" spans="4:18" x14ac:dyDescent="0.3">
      <c r="D54">
        <v>16</v>
      </c>
      <c r="E54">
        <f>E$47+E$48-E$46</f>
        <v>1.4701249057618551</v>
      </c>
      <c r="F54">
        <f>F$47+F$48-F$46</f>
        <v>-1.0879247815283111</v>
      </c>
      <c r="G54" s="5">
        <f>(E54+3*F54)^2+(F54+5)^2</f>
        <v>18.521510824370658</v>
      </c>
    </row>
    <row r="55" spans="4:18" x14ac:dyDescent="0.3">
      <c r="D55">
        <v>17</v>
      </c>
      <c r="E55">
        <f>E$50+E$52-E$51</f>
        <v>1.4585665134083525</v>
      </c>
      <c r="F55">
        <f>F$50+F$52-F$51</f>
        <v>-1.1110415662353159</v>
      </c>
      <c r="G55" s="5">
        <f>(E55+3*F55)^2+(F55+5)^2</f>
        <v>18.637966089615681</v>
      </c>
    </row>
    <row r="56" spans="4:18" x14ac:dyDescent="0.3">
      <c r="D56" s="3">
        <v>11</v>
      </c>
      <c r="E56" s="3">
        <f>E$27+E$28-E$29</f>
        <v>2.2371619926173212</v>
      </c>
      <c r="F56" s="3">
        <f>F$27+F$28-F$29</f>
        <v>-9.6743826630832253E-2</v>
      </c>
      <c r="G56" s="3">
        <f>(E56+3*F56)^2+(F56+5)^2</f>
        <v>27.8324595230618</v>
      </c>
      <c r="H56" t="s">
        <v>6</v>
      </c>
    </row>
    <row r="57" spans="4:18" x14ac:dyDescent="0.3">
      <c r="E57" t="s">
        <v>9</v>
      </c>
      <c r="G57" s="4">
        <f>SQRT((G56-G54)^2+(G56-G54)^2)</f>
        <v>13.167669928249135</v>
      </c>
      <c r="H57" t="s">
        <v>11</v>
      </c>
    </row>
    <row r="58" spans="4:18" x14ac:dyDescent="0.3">
      <c r="D58">
        <v>16</v>
      </c>
      <c r="E58">
        <f>E$47+E$48-E$46</f>
        <v>1.4701249057618551</v>
      </c>
      <c r="F58">
        <f>F$47+F$48-F$46</f>
        <v>-1.0879247815283111</v>
      </c>
      <c r="G58" s="5">
        <f t="shared" ref="G58:G63" si="3">(E58+3*F58)^2+(F58+5)^2</f>
        <v>18.521510824370658</v>
      </c>
    </row>
    <row r="59" spans="4:18" x14ac:dyDescent="0.3">
      <c r="D59">
        <v>17</v>
      </c>
      <c r="E59">
        <f>E$50+E$52-E$51</f>
        <v>1.4585665134083525</v>
      </c>
      <c r="F59">
        <f>F$50+F$52-F$51</f>
        <v>-1.1110415662353159</v>
      </c>
      <c r="G59" s="5">
        <f t="shared" si="3"/>
        <v>18.637966089615681</v>
      </c>
    </row>
    <row r="60" spans="4:18" x14ac:dyDescent="0.3">
      <c r="D60" s="3">
        <v>18</v>
      </c>
      <c r="E60" s="3">
        <f>E54+E55-E56</f>
        <v>0.69152942655288641</v>
      </c>
      <c r="F60" s="3">
        <f>F54+F55-F56</f>
        <v>-2.102222521132795</v>
      </c>
      <c r="G60" s="3">
        <f t="shared" si="3"/>
        <v>39.926890612886709</v>
      </c>
      <c r="H60" t="s">
        <v>6</v>
      </c>
    </row>
    <row r="61" spans="4:18" x14ac:dyDescent="0.3">
      <c r="D61">
        <v>16</v>
      </c>
      <c r="E61">
        <f>E$47+E$48-E$46</f>
        <v>1.4701249057618551</v>
      </c>
      <c r="F61">
        <f>F$47+F$48-F$46</f>
        <v>-1.0879247815283111</v>
      </c>
      <c r="G61" s="5">
        <f t="shared" si="3"/>
        <v>18.521510824370658</v>
      </c>
    </row>
    <row r="62" spans="4:18" x14ac:dyDescent="0.3">
      <c r="D62">
        <v>17</v>
      </c>
      <c r="E62">
        <f>E$50+E$52-E$51</f>
        <v>1.4585665134083525</v>
      </c>
      <c r="F62">
        <f>F$50+F$52-F$51</f>
        <v>-1.1110415662353159</v>
      </c>
      <c r="G62" s="5">
        <f t="shared" si="3"/>
        <v>18.637966089615681</v>
      </c>
    </row>
    <row r="63" spans="4:18" x14ac:dyDescent="0.3">
      <c r="D63" s="3">
        <v>19</v>
      </c>
      <c r="E63" s="3">
        <f>E59+E58-E60</f>
        <v>2.2371619926173212</v>
      </c>
      <c r="F63" s="3">
        <f>F58+F59-F60</f>
        <v>-9.6743826630832253E-2</v>
      </c>
      <c r="G63" s="3">
        <f t="shared" si="3"/>
        <v>27.8324595230618</v>
      </c>
      <c r="H63" t="s">
        <v>6</v>
      </c>
    </row>
    <row r="64" spans="4:18" x14ac:dyDescent="0.3">
      <c r="E64" t="s">
        <v>8</v>
      </c>
      <c r="I64">
        <f>SQRT((E63-E61)^2+(F63-F61)^2)</f>
        <v>1.2533098491447348</v>
      </c>
      <c r="J64" t="s">
        <v>13</v>
      </c>
    </row>
  </sheetData>
  <pageMargins left="0.7" right="0.7" top="0.75" bottom="0.75" header="0.3" footer="0.3"/>
  <pageSetup paperSize="9" orientation="portrait" r:id="rId1"/>
  <ignoredErrors>
    <ignoredError sqref="E5:F5 E8:F8 G15 G19 G41 G33 G37 G49 G53 G5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 Admin</cp:lastModifiedBy>
  <dcterms:created xsi:type="dcterms:W3CDTF">2026-02-16T17:07:30Z</dcterms:created>
  <dcterms:modified xsi:type="dcterms:W3CDTF">2026-04-07T11:42:50Z</dcterms:modified>
</cp:coreProperties>
</file>