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University_Files\6th Term\Research of Operations\Lab2\"/>
    </mc:Choice>
  </mc:AlternateContent>
  <xr:revisionPtr revIDLastSave="0" documentId="13_ncr:1_{7BEEBF1E-80AB-464B-969A-97A6CAA9EDF1}" xr6:coauthVersionLast="47" xr6:coauthVersionMax="47" xr10:uidLastSave="{00000000-0000-0000-0000-000000000000}"/>
  <bookViews>
    <workbookView xWindow="-108" yWindow="-108" windowWidth="23256" windowHeight="12576" xr2:uid="{F998B6B0-C1F8-40CD-9224-C028853F65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" l="1"/>
  <c r="G33" i="1"/>
  <c r="G32" i="1"/>
  <c r="E33" i="1"/>
  <c r="E32" i="1"/>
  <c r="F33" i="1"/>
  <c r="F32" i="1"/>
  <c r="K5" i="1"/>
  <c r="F4" i="1" s="1"/>
  <c r="F6" i="1" s="1"/>
  <c r="F8" i="1" s="1"/>
  <c r="G17" i="1"/>
  <c r="F17" i="1"/>
  <c r="E17" i="1"/>
  <c r="G2" i="1"/>
  <c r="K6" i="1"/>
  <c r="F3" i="1" s="1"/>
  <c r="F11" i="1" l="1"/>
  <c r="F16" i="1"/>
  <c r="F20" i="1" s="1"/>
  <c r="F22" i="1" s="1"/>
  <c r="F27" i="1" s="1"/>
  <c r="F28" i="1" s="1"/>
  <c r="E3" i="1"/>
  <c r="G3" i="1" s="1"/>
  <c r="E4" i="1"/>
  <c r="G4" i="1" l="1"/>
  <c r="E6" i="1"/>
  <c r="E8" i="1" l="1"/>
  <c r="G6" i="1"/>
  <c r="E16" i="1" l="1"/>
  <c r="F15" i="1"/>
  <c r="E11" i="1"/>
  <c r="G11" i="1" s="1"/>
  <c r="G8" i="1"/>
  <c r="E20" i="1" l="1"/>
  <c r="G16" i="1"/>
  <c r="G20" i="1" l="1"/>
  <c r="E22" i="1"/>
  <c r="G22" i="1" l="1"/>
  <c r="E27" i="1"/>
  <c r="I26" i="1" l="1"/>
  <c r="E28" i="1"/>
  <c r="G28" i="1" s="1"/>
  <c r="G27" i="1"/>
  <c r="K44" i="1" l="1"/>
</calcChain>
</file>

<file path=xl/sharedStrings.xml><?xml version="1.0" encoding="utf-8"?>
<sst xmlns="http://schemas.openxmlformats.org/spreadsheetml/2006/main" count="30" uniqueCount="15">
  <si>
    <t xml:space="preserve"> коорд.
№верш.</t>
  </si>
  <si>
    <t>x1</t>
  </si>
  <si>
    <t>x2</t>
  </si>
  <si>
    <t>W</t>
  </si>
  <si>
    <t>l</t>
  </si>
  <si>
    <t>Ɛ</t>
  </si>
  <si>
    <t>худшая точка</t>
  </si>
  <si>
    <t>&gt;1,5 - поиск продолжается</t>
  </si>
  <si>
    <t>p</t>
  </si>
  <si>
    <t>q</t>
  </si>
  <si>
    <t>лучшая точка</t>
  </si>
  <si>
    <t>симплекс качается, применяем сжатие</t>
  </si>
  <si>
    <t>длина ребра</t>
  </si>
  <si>
    <t>&gt;1.5</t>
  </si>
  <si>
    <t>&lt;1.5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</si>
</sst>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Border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/>
    <xf numFmtId="165" fontId="0" fillId="0" borderId="5" xfId="0" applyNumberFormat="1" applyBorder="1"/>
    <xf numFmtId="165" fontId="0" fillId="0" borderId="0" xfId="0" applyNumberFormat="1" applyBorder="1"/>
    <xf numFmtId="165" fontId="0" fillId="0" borderId="7" xfId="0" applyNumberFormat="1" applyBorder="1"/>
    <xf numFmtId="165" fontId="0" fillId="0" borderId="2" xfId="0" applyNumberFormat="1" applyBorder="1"/>
    <xf numFmtId="165" fontId="0" fillId="0" borderId="9" xfId="0" applyNumberFormat="1" applyBorder="1"/>
    <xf numFmtId="165" fontId="0" fillId="0" borderId="3" xfId="0" applyNumberFormat="1" applyFill="1" applyBorder="1"/>
    <xf numFmtId="165" fontId="0" fillId="0" borderId="0" xfId="0" applyNumberFormat="1" applyFill="1" applyBorder="1"/>
    <xf numFmtId="165" fontId="0" fillId="0" borderId="7" xfId="0" applyNumberFormat="1" applyFill="1" applyBorder="1"/>
    <xf numFmtId="165" fontId="0" fillId="0" borderId="2" xfId="0" applyNumberFormat="1" applyFill="1" applyBorder="1"/>
    <xf numFmtId="165" fontId="0" fillId="0" borderId="9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3C0E-6241-4EF4-A53A-5BA6D6B9E413}">
  <dimension ref="A1:R64"/>
  <sheetViews>
    <sheetView tabSelected="1" topLeftCell="C3" zoomScaleNormal="100" workbookViewId="0">
      <selection activeCell="K30" sqref="K30"/>
    </sheetView>
  </sheetViews>
  <sheetFormatPr defaultRowHeight="14.4" x14ac:dyDescent="0.3"/>
  <cols>
    <col min="1" max="1" width="8.5546875" bestFit="1" customWidth="1"/>
    <col min="4" max="4" width="8.88671875" style="6"/>
    <col min="5" max="6" width="9.109375" bestFit="1" customWidth="1"/>
    <col min="7" max="7" width="9.44140625" bestFit="1" customWidth="1"/>
    <col min="8" max="8" width="15.44140625" customWidth="1"/>
    <col min="10" max="10" width="15.21875" customWidth="1"/>
    <col min="17" max="18" width="9.5546875" bestFit="1" customWidth="1"/>
  </cols>
  <sheetData>
    <row r="1" spans="1:18" ht="28.8" x14ac:dyDescent="0.3">
      <c r="A1" t="s">
        <v>4</v>
      </c>
      <c r="B1">
        <v>4</v>
      </c>
      <c r="D1" s="18" t="s">
        <v>0</v>
      </c>
      <c r="E1" t="s">
        <v>1</v>
      </c>
      <c r="F1" t="s">
        <v>2</v>
      </c>
      <c r="G1" t="s">
        <v>3</v>
      </c>
    </row>
    <row r="2" spans="1:18" x14ac:dyDescent="0.3">
      <c r="A2" s="1" t="s">
        <v>5</v>
      </c>
      <c r="B2">
        <v>1.5</v>
      </c>
      <c r="D2" s="11">
        <v>1</v>
      </c>
      <c r="E2" s="22">
        <v>-7</v>
      </c>
      <c r="F2" s="22">
        <v>-7</v>
      </c>
      <c r="G2" s="23">
        <f>(E2-2*F2)^2+(F2-3)^2</f>
        <v>149</v>
      </c>
      <c r="Q2" s="4"/>
      <c r="R2" s="4"/>
    </row>
    <row r="3" spans="1:18" x14ac:dyDescent="0.3">
      <c r="D3" s="12">
        <v>2</v>
      </c>
      <c r="E3" s="24">
        <f>K5+E2</f>
        <v>-3.1362966948437272</v>
      </c>
      <c r="F3" s="24">
        <f>K6+F2</f>
        <v>-5.964723819589917</v>
      </c>
      <c r="G3" s="25">
        <f t="shared" ref="G3:G8" si="0">(E3-2*F3)^2+(F3-3)^2</f>
        <v>157.6857766914018</v>
      </c>
      <c r="H3" t="s">
        <v>6</v>
      </c>
      <c r="L3" s="5"/>
      <c r="Q3" s="4"/>
      <c r="R3" s="4"/>
    </row>
    <row r="4" spans="1:18" x14ac:dyDescent="0.3">
      <c r="D4" s="13">
        <v>3</v>
      </c>
      <c r="E4" s="26">
        <f>K6+E2</f>
        <v>-5.964723819589917</v>
      </c>
      <c r="F4" s="26">
        <f>K5+F2</f>
        <v>-3.1362966948437272</v>
      </c>
      <c r="G4" s="27">
        <f t="shared" si="0"/>
        <v>37.748920799342095</v>
      </c>
      <c r="P4" s="3"/>
      <c r="Q4" s="4"/>
      <c r="R4" s="4"/>
    </row>
    <row r="5" spans="1:18" x14ac:dyDescent="0.3">
      <c r="D5" s="14">
        <v>1</v>
      </c>
      <c r="E5" s="22">
        <v>-7</v>
      </c>
      <c r="F5" s="22">
        <v>-7</v>
      </c>
      <c r="G5" s="23">
        <v>149</v>
      </c>
      <c r="H5" t="s">
        <v>6</v>
      </c>
      <c r="J5" t="s">
        <v>8</v>
      </c>
      <c r="K5">
        <f>4*(2-1+SQRT(2+1))/(2*SQRT(2))</f>
        <v>3.8637033051562728</v>
      </c>
      <c r="P5" s="2"/>
      <c r="Q5" s="4"/>
      <c r="R5" s="4"/>
    </row>
    <row r="6" spans="1:18" x14ac:dyDescent="0.3">
      <c r="D6" s="15">
        <v>4</v>
      </c>
      <c r="E6" s="24">
        <f>E2+E4-E3</f>
        <v>-9.8284271247461898</v>
      </c>
      <c r="F6" s="24">
        <f>F2+F4-F3</f>
        <v>-4.1715728752538102</v>
      </c>
      <c r="G6" s="25">
        <f t="shared" si="0"/>
        <v>53.637518265736219</v>
      </c>
      <c r="J6" t="s">
        <v>9</v>
      </c>
      <c r="K6">
        <f>4*(SQRT(2+1)-1)/(2*SQRT(2))</f>
        <v>1.0352761804100827</v>
      </c>
      <c r="P6" s="2"/>
      <c r="Q6" s="4"/>
      <c r="R6" s="4"/>
    </row>
    <row r="7" spans="1:18" x14ac:dyDescent="0.3">
      <c r="D7" s="16">
        <v>3</v>
      </c>
      <c r="E7" s="26">
        <v>-5.964723819589917</v>
      </c>
      <c r="F7" s="26">
        <v>-3.1362966948437272</v>
      </c>
      <c r="G7" s="27">
        <v>37.748920799342095</v>
      </c>
      <c r="P7" s="2"/>
      <c r="Q7" s="4"/>
      <c r="R7" s="4"/>
    </row>
    <row r="8" spans="1:18" x14ac:dyDescent="0.3">
      <c r="D8" s="14">
        <v>5</v>
      </c>
      <c r="E8" s="28">
        <f>E6+E7-E5</f>
        <v>-8.7931509443361069</v>
      </c>
      <c r="F8" s="28">
        <f>F6+F7-F5</f>
        <v>-0.30786957009753735</v>
      </c>
      <c r="G8" s="23">
        <f t="shared" si="0"/>
        <v>77.812064907282348</v>
      </c>
      <c r="H8" t="s">
        <v>6</v>
      </c>
      <c r="P8" s="2"/>
      <c r="Q8" s="4"/>
      <c r="R8" s="4"/>
    </row>
    <row r="9" spans="1:18" x14ac:dyDescent="0.3">
      <c r="D9" s="15">
        <v>4</v>
      </c>
      <c r="E9" s="29">
        <v>-9.8284271247461898</v>
      </c>
      <c r="F9" s="29">
        <v>-4.1715728752538102</v>
      </c>
      <c r="G9" s="30">
        <v>53.637518265736219</v>
      </c>
      <c r="P9" s="2"/>
      <c r="Q9" s="4"/>
      <c r="R9" s="4"/>
    </row>
    <row r="10" spans="1:18" x14ac:dyDescent="0.3">
      <c r="D10" s="16">
        <v>3</v>
      </c>
      <c r="E10" s="31">
        <v>-5.964723819589917</v>
      </c>
      <c r="F10" s="31">
        <v>-3.1362966948437272</v>
      </c>
      <c r="G10" s="32">
        <v>37.748920799342095</v>
      </c>
      <c r="H10" t="s">
        <v>10</v>
      </c>
      <c r="P10" s="2"/>
      <c r="Q10" s="4"/>
      <c r="R10" s="4"/>
    </row>
    <row r="11" spans="1:18" x14ac:dyDescent="0.3">
      <c r="D11" s="14">
        <v>6</v>
      </c>
      <c r="E11" s="22">
        <f>E9+E10-E8</f>
        <v>-7</v>
      </c>
      <c r="F11" s="22">
        <f>F9+F10-F8</f>
        <v>-7</v>
      </c>
      <c r="G11" s="23">
        <f>(E11-2*F11)^2+(F11-3)^2</f>
        <v>149</v>
      </c>
      <c r="H11" t="s">
        <v>6</v>
      </c>
      <c r="Q11" s="4"/>
      <c r="R11" s="4"/>
    </row>
    <row r="12" spans="1:18" x14ac:dyDescent="0.3">
      <c r="D12" s="12">
        <v>4</v>
      </c>
      <c r="E12" s="24">
        <v>-9.8284271247461898</v>
      </c>
      <c r="F12" s="24">
        <v>-4.1715728752538102</v>
      </c>
      <c r="G12" s="25">
        <v>53.637518265736219</v>
      </c>
      <c r="Q12" s="4"/>
      <c r="R12" s="4"/>
    </row>
    <row r="13" spans="1:18" x14ac:dyDescent="0.3">
      <c r="D13" s="13">
        <v>3</v>
      </c>
      <c r="E13" s="26">
        <v>-5.964723819589917</v>
      </c>
      <c r="F13" s="26">
        <v>-3.1362966948437272</v>
      </c>
      <c r="G13" s="27">
        <v>37.748920799342095</v>
      </c>
      <c r="P13" s="3"/>
      <c r="Q13" s="4"/>
      <c r="R13" s="4"/>
    </row>
    <row r="14" spans="1:18" x14ac:dyDescent="0.3">
      <c r="D14" s="21" t="s">
        <v>11</v>
      </c>
      <c r="E14" s="21"/>
      <c r="F14" s="21"/>
      <c r="G14" s="21"/>
      <c r="Q14" s="4"/>
      <c r="R14" s="4"/>
    </row>
    <row r="15" spans="1:18" x14ac:dyDescent="0.3">
      <c r="D15" s="20" t="s">
        <v>12</v>
      </c>
      <c r="E15" s="20"/>
      <c r="F15" s="17">
        <f>SQRT((E8-E10)^2+(F8-F10)^2)</f>
        <v>3.9999999999999996</v>
      </c>
      <c r="G15" s="17" t="s">
        <v>13</v>
      </c>
      <c r="P15" s="3"/>
      <c r="Q15" s="4"/>
      <c r="R15" s="4"/>
    </row>
    <row r="16" spans="1:18" x14ac:dyDescent="0.3">
      <c r="D16" s="10">
        <v>8</v>
      </c>
      <c r="E16" s="22">
        <f>(E10+E8)/2</f>
        <v>-7.378937381963012</v>
      </c>
      <c r="F16" s="22">
        <f>(F10+F8)/2</f>
        <v>-1.7220831324706323</v>
      </c>
      <c r="G16" s="23">
        <f t="shared" ref="G16:G17" si="1">(E16-2*F16)^2+(F16-3)^2</f>
        <v>37.780492853312225</v>
      </c>
      <c r="Q16" s="4"/>
      <c r="R16" s="4"/>
    </row>
    <row r="17" spans="4:18" x14ac:dyDescent="0.3">
      <c r="D17" s="8">
        <v>7</v>
      </c>
      <c r="E17" s="24">
        <f>(E10+E9)/2</f>
        <v>-7.8965754721680534</v>
      </c>
      <c r="F17" s="24">
        <f>(F10+F9)/2</f>
        <v>-3.6539347850487687</v>
      </c>
      <c r="G17" s="25">
        <f t="shared" si="1"/>
        <v>44.621422762814667</v>
      </c>
      <c r="H17" t="s">
        <v>6</v>
      </c>
      <c r="Q17" s="4"/>
      <c r="R17" s="4"/>
    </row>
    <row r="18" spans="4:18" x14ac:dyDescent="0.3">
      <c r="D18" s="9">
        <v>3</v>
      </c>
      <c r="E18" s="26">
        <v>-5.964723819589917</v>
      </c>
      <c r="F18" s="26">
        <v>-3.1362966948437272</v>
      </c>
      <c r="G18" s="32">
        <v>37.748920799342095</v>
      </c>
      <c r="P18" s="3"/>
      <c r="Q18" s="4"/>
      <c r="R18" s="4"/>
    </row>
    <row r="19" spans="4:18" x14ac:dyDescent="0.3">
      <c r="D19" s="7">
        <v>8</v>
      </c>
      <c r="E19" s="22">
        <v>-7.378937381963012</v>
      </c>
      <c r="F19" s="22">
        <v>-1.7220831324706323</v>
      </c>
      <c r="G19" s="23">
        <v>37.780492853312225</v>
      </c>
      <c r="H19" t="s">
        <v>6</v>
      </c>
      <c r="Q19" s="4"/>
      <c r="R19" s="4"/>
    </row>
    <row r="20" spans="4:18" x14ac:dyDescent="0.3">
      <c r="D20" s="8">
        <v>9</v>
      </c>
      <c r="E20" s="24">
        <f>E16+E18-E17</f>
        <v>-5.4470857293848765</v>
      </c>
      <c r="F20" s="24">
        <f>F16+F18-F17</f>
        <v>-1.2044450422655908</v>
      </c>
      <c r="G20" s="25">
        <f t="shared" ref="G20:G22" si="2">(E20-2*F20)^2+(F20-3)^2</f>
        <v>26.907990889839663</v>
      </c>
      <c r="Q20" s="4"/>
      <c r="R20" s="4"/>
    </row>
    <row r="21" spans="4:18" x14ac:dyDescent="0.3">
      <c r="D21" s="9">
        <v>3</v>
      </c>
      <c r="E21" s="26">
        <v>-5.964723819589917</v>
      </c>
      <c r="F21" s="26">
        <v>-3.1362966948437272</v>
      </c>
      <c r="G21" s="27">
        <v>37.748920799342095</v>
      </c>
      <c r="Q21" s="4"/>
      <c r="R21" s="4"/>
    </row>
    <row r="22" spans="4:18" x14ac:dyDescent="0.3">
      <c r="D22" s="7">
        <v>10</v>
      </c>
      <c r="E22" s="22">
        <f>E20+E21-E19</f>
        <v>-4.0328721670117824</v>
      </c>
      <c r="F22" s="22">
        <f>F20+F21-F19</f>
        <v>-2.6186586046386857</v>
      </c>
      <c r="G22" s="23">
        <f t="shared" si="2"/>
        <v>33.020012375318501</v>
      </c>
      <c r="Q22" s="4"/>
      <c r="R22" s="4"/>
    </row>
    <row r="23" spans="4:18" x14ac:dyDescent="0.3">
      <c r="D23" s="8">
        <v>9</v>
      </c>
      <c r="E23" s="24">
        <v>-5.4470857293848765</v>
      </c>
      <c r="F23" s="24">
        <v>-1.2044450422655908</v>
      </c>
      <c r="G23" s="25">
        <v>26.907990889839663</v>
      </c>
      <c r="Q23" s="4"/>
      <c r="R23" s="4"/>
    </row>
    <row r="24" spans="4:18" x14ac:dyDescent="0.3">
      <c r="D24" s="8">
        <v>3</v>
      </c>
      <c r="E24" s="24">
        <v>-5.964723819589917</v>
      </c>
      <c r="F24" s="24">
        <v>-3.1362966948437272</v>
      </c>
      <c r="G24" s="25">
        <v>37.748920799342095</v>
      </c>
      <c r="H24" t="s">
        <v>6</v>
      </c>
      <c r="P24" s="3"/>
      <c r="Q24" s="4"/>
      <c r="R24" s="4"/>
    </row>
    <row r="25" spans="4:18" x14ac:dyDescent="0.3">
      <c r="D25" s="7">
        <v>10</v>
      </c>
      <c r="E25" s="22">
        <v>-4.0328721670117824</v>
      </c>
      <c r="F25" s="22">
        <v>-2.6186586046386857</v>
      </c>
      <c r="G25" s="23">
        <v>33.020012375318501</v>
      </c>
      <c r="H25" t="s">
        <v>6</v>
      </c>
      <c r="I25" s="20" t="s">
        <v>12</v>
      </c>
      <c r="J25" s="20"/>
      <c r="Q25" s="4"/>
      <c r="R25" s="4"/>
    </row>
    <row r="26" spans="4:18" x14ac:dyDescent="0.3">
      <c r="D26" s="8">
        <v>9</v>
      </c>
      <c r="E26" s="24">
        <v>-5.4470857293848765</v>
      </c>
      <c r="F26" s="24">
        <v>-1.2044450422655908</v>
      </c>
      <c r="G26" s="25">
        <v>26.907990889839663</v>
      </c>
      <c r="I26">
        <f>SQRT((E25-E27)^2+(F25-F27)^2)</f>
        <v>1.9999999999999996</v>
      </c>
      <c r="J26" t="s">
        <v>13</v>
      </c>
      <c r="Q26" s="4"/>
      <c r="R26" s="4"/>
    </row>
    <row r="27" spans="4:18" x14ac:dyDescent="0.3">
      <c r="D27" s="8">
        <v>11</v>
      </c>
      <c r="E27" s="24">
        <f>E22+E23-E24</f>
        <v>-3.5152340768067418</v>
      </c>
      <c r="F27" s="24">
        <f>F22+F23-F24</f>
        <v>-0.68680695206054931</v>
      </c>
      <c r="G27" s="25">
        <f t="shared" ref="G27:G28" si="3">(E27-2*F27)^2+(F27-3)^2</f>
        <v>18.17908246581608</v>
      </c>
      <c r="H27" t="s">
        <v>10</v>
      </c>
      <c r="P27" s="3"/>
      <c r="Q27" s="4"/>
      <c r="R27" s="4"/>
    </row>
    <row r="28" spans="4:18" x14ac:dyDescent="0.3">
      <c r="D28" s="7">
        <v>12</v>
      </c>
      <c r="E28" s="22">
        <f>E26+E27-E25</f>
        <v>-4.9294476391798367</v>
      </c>
      <c r="F28" s="22">
        <f>F26+F27-F25</f>
        <v>0.72740661031254561</v>
      </c>
      <c r="G28" s="23">
        <f t="shared" si="3"/>
        <v>45.923467440888274</v>
      </c>
      <c r="H28" t="s">
        <v>6</v>
      </c>
      <c r="Q28" s="4"/>
      <c r="R28" s="4"/>
    </row>
    <row r="29" spans="4:18" x14ac:dyDescent="0.3">
      <c r="D29" s="8">
        <v>9</v>
      </c>
      <c r="E29" s="24">
        <v>-5.4470857293848765</v>
      </c>
      <c r="F29" s="24">
        <v>-1.2044450422655908</v>
      </c>
      <c r="G29" s="25">
        <v>26.907990889839663</v>
      </c>
      <c r="Q29" s="4"/>
      <c r="R29" s="4"/>
    </row>
    <row r="30" spans="4:18" x14ac:dyDescent="0.3">
      <c r="D30" s="9">
        <v>11</v>
      </c>
      <c r="E30" s="26">
        <v>-3.5152340768067418</v>
      </c>
      <c r="F30" s="26">
        <v>-0.68680695206054931</v>
      </c>
      <c r="G30" s="27">
        <v>18.17908246581608</v>
      </c>
      <c r="P30" s="3"/>
      <c r="Q30" s="4"/>
      <c r="R30" s="4"/>
    </row>
    <row r="31" spans="4:18" x14ac:dyDescent="0.3">
      <c r="D31" s="21" t="s">
        <v>11</v>
      </c>
      <c r="E31" s="21"/>
      <c r="F31" s="21"/>
      <c r="G31" s="21"/>
      <c r="Q31" s="4"/>
      <c r="R31" s="4"/>
    </row>
    <row r="32" spans="4:18" x14ac:dyDescent="0.3">
      <c r="D32" s="7">
        <v>14</v>
      </c>
      <c r="E32" s="22">
        <f>(E27+E25)/2</f>
        <v>-3.7740531219092621</v>
      </c>
      <c r="F32" s="22">
        <f>(F27+F25)/2</f>
        <v>-1.6527327783496175</v>
      </c>
      <c r="G32" s="23">
        <f t="shared" ref="G32:G33" si="4">(E32-2*F32)^2+(F32-3)^2</f>
        <v>21.867496612998416</v>
      </c>
      <c r="I32" s="20" t="s">
        <v>12</v>
      </c>
      <c r="J32" s="20"/>
      <c r="Q32" s="4"/>
      <c r="R32" s="4"/>
    </row>
    <row r="33" spans="4:18" x14ac:dyDescent="0.3">
      <c r="D33" s="8">
        <v>13</v>
      </c>
      <c r="E33" s="24">
        <f>(E27+E26)/2</f>
        <v>-4.4811599030958096</v>
      </c>
      <c r="F33" s="24">
        <f>(F27+F26)/2</f>
        <v>-0.94562599716307005</v>
      </c>
      <c r="G33" s="25">
        <f t="shared" si="4"/>
        <v>22.275587485396755</v>
      </c>
      <c r="H33" t="s">
        <v>6</v>
      </c>
      <c r="I33">
        <f>SQRT((E33-E34)^2+(F33-F34)^2)</f>
        <v>0.99999999999999956</v>
      </c>
      <c r="J33" t="s">
        <v>14</v>
      </c>
      <c r="P33" s="3"/>
      <c r="Q33" s="4"/>
      <c r="R33" s="4"/>
    </row>
    <row r="34" spans="4:18" x14ac:dyDescent="0.3">
      <c r="D34" s="9">
        <v>11</v>
      </c>
      <c r="E34" s="26">
        <v>-3.5152340768067418</v>
      </c>
      <c r="F34" s="26">
        <v>-0.68680695206054931</v>
      </c>
      <c r="G34" s="27">
        <v>18.17908246581608</v>
      </c>
      <c r="H34" t="s">
        <v>10</v>
      </c>
      <c r="Q34" s="4"/>
      <c r="R34" s="4"/>
    </row>
    <row r="35" spans="4:18" x14ac:dyDescent="0.3">
      <c r="D35" s="19"/>
      <c r="E35" s="3"/>
      <c r="F35" s="3"/>
      <c r="G35" s="3"/>
      <c r="Q35" s="4"/>
      <c r="R35" s="4"/>
    </row>
    <row r="36" spans="4:18" x14ac:dyDescent="0.3">
      <c r="D36" s="19"/>
      <c r="E36" s="3"/>
      <c r="F36" s="3"/>
      <c r="G36" s="2"/>
      <c r="P36" s="3"/>
      <c r="Q36" s="4"/>
      <c r="R36" s="4"/>
    </row>
    <row r="37" spans="4:18" x14ac:dyDescent="0.3">
      <c r="D37" s="19"/>
      <c r="E37" s="3"/>
      <c r="F37" s="3"/>
      <c r="G37" s="3"/>
      <c r="Q37" s="4"/>
      <c r="R37" s="4"/>
    </row>
    <row r="38" spans="4:18" x14ac:dyDescent="0.3">
      <c r="D38" s="19"/>
      <c r="E38" s="3"/>
      <c r="F38" s="3"/>
      <c r="G38" s="3"/>
      <c r="Q38" s="4"/>
      <c r="R38" s="4"/>
    </row>
    <row r="39" spans="4:18" x14ac:dyDescent="0.3">
      <c r="D39" s="19"/>
      <c r="E39" s="3"/>
      <c r="F39" s="3"/>
      <c r="G39" s="3"/>
      <c r="P39" s="3"/>
      <c r="Q39" s="4"/>
      <c r="R39" s="4"/>
    </row>
    <row r="40" spans="4:18" x14ac:dyDescent="0.3">
      <c r="D40" s="19"/>
      <c r="E40" s="3"/>
      <c r="F40" s="3"/>
      <c r="G40" s="2"/>
      <c r="Q40" s="4"/>
      <c r="R40" s="4"/>
    </row>
    <row r="41" spans="4:18" x14ac:dyDescent="0.3">
      <c r="D41" s="19"/>
      <c r="E41" s="3"/>
      <c r="F41" s="3"/>
      <c r="G41" s="3"/>
      <c r="Q41" s="4"/>
      <c r="R41" s="4"/>
    </row>
    <row r="42" spans="4:18" x14ac:dyDescent="0.3">
      <c r="D42" s="19"/>
      <c r="E42" s="3"/>
      <c r="F42" s="3"/>
      <c r="G42" s="3"/>
      <c r="P42" s="3"/>
      <c r="Q42" s="4"/>
      <c r="R42" s="4"/>
    </row>
    <row r="43" spans="4:18" x14ac:dyDescent="0.3">
      <c r="D43" s="19"/>
      <c r="E43" s="3"/>
      <c r="F43" s="3"/>
      <c r="G43" s="3"/>
      <c r="Q43" s="4"/>
      <c r="R43" s="4"/>
    </row>
    <row r="44" spans="4:18" x14ac:dyDescent="0.3">
      <c r="D44" s="19"/>
      <c r="E44" s="3"/>
      <c r="F44" s="3"/>
      <c r="G44" s="3"/>
      <c r="K44">
        <f>SQRT((E41-E43)^2+(F41-F43)^2)</f>
        <v>0</v>
      </c>
      <c r="L44" t="s">
        <v>7</v>
      </c>
      <c r="Q44" s="4"/>
      <c r="R44" s="4"/>
    </row>
    <row r="45" spans="4:18" x14ac:dyDescent="0.3">
      <c r="D45" s="19"/>
      <c r="E45" s="3"/>
      <c r="F45" s="3"/>
      <c r="G45" s="3"/>
      <c r="P45" s="3"/>
      <c r="Q45" s="4"/>
      <c r="R45" s="4"/>
    </row>
    <row r="46" spans="4:18" x14ac:dyDescent="0.3">
      <c r="D46" s="19"/>
      <c r="E46" s="3"/>
      <c r="F46" s="3"/>
      <c r="G46" s="3"/>
      <c r="Q46" s="4"/>
      <c r="R46" s="4"/>
    </row>
    <row r="47" spans="4:18" x14ac:dyDescent="0.3">
      <c r="D47" s="19"/>
      <c r="E47" s="3"/>
      <c r="F47" s="3"/>
      <c r="G47" s="3"/>
      <c r="Q47" s="4"/>
      <c r="R47" s="4"/>
    </row>
    <row r="48" spans="4:18" x14ac:dyDescent="0.3">
      <c r="D48" s="19"/>
      <c r="E48" s="3"/>
      <c r="F48" s="3"/>
      <c r="G48" s="2"/>
      <c r="P48" s="3"/>
      <c r="Q48" s="4"/>
      <c r="R48" s="4"/>
    </row>
    <row r="49" spans="4:18" x14ac:dyDescent="0.3">
      <c r="D49" s="19"/>
      <c r="E49" s="3"/>
      <c r="F49" s="3"/>
      <c r="G49" s="3"/>
      <c r="Q49" s="4"/>
      <c r="R49" s="4"/>
    </row>
    <row r="50" spans="4:18" x14ac:dyDescent="0.3">
      <c r="D50" s="19"/>
      <c r="E50" s="3"/>
      <c r="F50" s="3"/>
      <c r="G50" s="3"/>
      <c r="Q50" s="4"/>
      <c r="R50" s="4"/>
    </row>
    <row r="51" spans="4:18" x14ac:dyDescent="0.3">
      <c r="D51" s="19"/>
      <c r="E51" s="3"/>
      <c r="F51" s="3"/>
      <c r="G51" s="3"/>
      <c r="P51" s="3"/>
      <c r="Q51" s="4"/>
      <c r="R51" s="4"/>
    </row>
    <row r="52" spans="4:18" x14ac:dyDescent="0.3">
      <c r="D52" s="19"/>
      <c r="E52" s="3"/>
      <c r="F52" s="3"/>
      <c r="G52" s="2"/>
    </row>
    <row r="53" spans="4:18" x14ac:dyDescent="0.3">
      <c r="D53" s="19"/>
      <c r="E53" s="3"/>
      <c r="F53" s="3"/>
      <c r="G53" s="3"/>
    </row>
    <row r="54" spans="4:18" x14ac:dyDescent="0.3">
      <c r="D54" s="19"/>
      <c r="E54" s="3"/>
      <c r="F54" s="3"/>
      <c r="G54" s="3"/>
    </row>
    <row r="55" spans="4:18" x14ac:dyDescent="0.3">
      <c r="D55" s="19"/>
      <c r="E55" s="3"/>
      <c r="F55" s="3"/>
      <c r="G55" s="3"/>
    </row>
    <row r="56" spans="4:18" x14ac:dyDescent="0.3">
      <c r="D56" s="19"/>
      <c r="E56" s="3"/>
      <c r="F56" s="3"/>
      <c r="G56" s="2"/>
    </row>
    <row r="57" spans="4:18" x14ac:dyDescent="0.3">
      <c r="D57" s="19"/>
      <c r="E57" s="3"/>
      <c r="F57" s="3"/>
      <c r="G57" s="3"/>
    </row>
    <row r="58" spans="4:18" x14ac:dyDescent="0.3">
      <c r="D58" s="19"/>
      <c r="E58" s="3"/>
      <c r="F58" s="3"/>
      <c r="G58" s="3"/>
    </row>
    <row r="59" spans="4:18" x14ac:dyDescent="0.3">
      <c r="D59" s="19"/>
      <c r="E59" s="3"/>
      <c r="F59" s="3"/>
      <c r="G59" s="3"/>
    </row>
    <row r="60" spans="4:18" x14ac:dyDescent="0.3">
      <c r="D60" s="19"/>
      <c r="E60" s="3"/>
      <c r="F60" s="3"/>
      <c r="G60" s="3"/>
    </row>
    <row r="61" spans="4:18" x14ac:dyDescent="0.3">
      <c r="D61" s="19"/>
      <c r="E61" s="3"/>
      <c r="F61" s="3"/>
      <c r="G61" s="3"/>
    </row>
    <row r="62" spans="4:18" x14ac:dyDescent="0.3">
      <c r="D62" s="19"/>
      <c r="E62" s="3"/>
      <c r="F62" s="3"/>
      <c r="G62" s="3"/>
    </row>
    <row r="63" spans="4:18" x14ac:dyDescent="0.3">
      <c r="D63" s="19"/>
      <c r="E63" s="3"/>
      <c r="F63" s="3"/>
      <c r="G63" s="3"/>
    </row>
    <row r="64" spans="4:18" x14ac:dyDescent="0.3">
      <c r="D64" s="19"/>
      <c r="E64" s="3"/>
      <c r="F64" s="3"/>
      <c r="G64" s="3"/>
    </row>
  </sheetData>
  <mergeCells count="5">
    <mergeCell ref="I32:J32"/>
    <mergeCell ref="I25:J25"/>
    <mergeCell ref="D14:G14"/>
    <mergeCell ref="D15:E15"/>
    <mergeCell ref="D31:G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 Admin</cp:lastModifiedBy>
  <dcterms:created xsi:type="dcterms:W3CDTF">2026-02-16T17:07:30Z</dcterms:created>
  <dcterms:modified xsi:type="dcterms:W3CDTF">2026-04-08T19:24:46Z</dcterms:modified>
</cp:coreProperties>
</file>