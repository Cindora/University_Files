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Files\University_Files\6th Term\Research of Operations\Lab1\"/>
    </mc:Choice>
  </mc:AlternateContent>
  <xr:revisionPtr revIDLastSave="0" documentId="13_ncr:1_{5AF2E2AA-C019-4883-A6B6-43358552FA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C5" i="1"/>
  <c r="D5" i="1" s="1"/>
  <c r="C4" i="1"/>
  <c r="B4" i="1"/>
  <c r="D3" i="1"/>
  <c r="E3" i="1"/>
  <c r="F3" i="1"/>
  <c r="G3" i="1"/>
  <c r="H3" i="1"/>
  <c r="C3" i="1"/>
  <c r="B3" i="1"/>
  <c r="H2" i="1"/>
  <c r="G2" i="1"/>
  <c r="F2" i="1"/>
  <c r="E2" i="1"/>
  <c r="D2" i="1"/>
  <c r="F5" i="1" l="1"/>
  <c r="H5" i="1" s="1"/>
  <c r="E5" i="1"/>
  <c r="G5" i="1" s="1"/>
  <c r="D4" i="1"/>
  <c r="F4" i="1" s="1"/>
  <c r="H4" i="1" s="1"/>
  <c r="B6" i="1" l="1"/>
  <c r="C6" i="1"/>
  <c r="E4" i="1"/>
  <c r="G4" i="1" s="1"/>
  <c r="D6" i="1" l="1"/>
  <c r="E6" i="1"/>
  <c r="G6" i="1" s="1"/>
  <c r="F6" i="1"/>
  <c r="H6" i="1" s="1"/>
  <c r="B7" i="1" l="1"/>
  <c r="C7" i="1"/>
  <c r="D7" i="1" l="1"/>
  <c r="E7" i="1"/>
  <c r="G7" i="1" s="1"/>
  <c r="F7" i="1"/>
  <c r="H7" i="1" s="1"/>
  <c r="B8" i="1" l="1"/>
  <c r="C8" i="1"/>
  <c r="D8" i="1" l="1"/>
  <c r="E8" i="1" s="1"/>
  <c r="G8" i="1" s="1"/>
  <c r="F8" i="1"/>
  <c r="H8" i="1" s="1"/>
  <c r="B9" i="1" l="1"/>
  <c r="C9" i="1"/>
  <c r="D9" i="1" l="1"/>
  <c r="E9" i="1"/>
  <c r="G9" i="1" s="1"/>
  <c r="F9" i="1"/>
  <c r="H9" i="1" s="1"/>
  <c r="C10" i="1" l="1"/>
  <c r="B10" i="1"/>
  <c r="D10" i="1" l="1"/>
  <c r="F10" i="1" s="1"/>
  <c r="H10" i="1" s="1"/>
  <c r="E10" i="1"/>
  <c r="G10" i="1" s="1"/>
  <c r="B11" i="1" l="1"/>
  <c r="C11" i="1"/>
  <c r="D11" i="1" l="1"/>
  <c r="E11" i="1" s="1"/>
  <c r="G11" i="1" s="1"/>
  <c r="F11" i="1"/>
  <c r="H11" i="1" s="1"/>
</calcChain>
</file>

<file path=xl/sharedStrings.xml><?xml version="1.0" encoding="utf-8"?>
<sst xmlns="http://schemas.openxmlformats.org/spreadsheetml/2006/main" count="9" uniqueCount="9">
  <si>
    <t>k</t>
  </si>
  <si>
    <t>a</t>
  </si>
  <si>
    <t>b</t>
  </si>
  <si>
    <t>l</t>
  </si>
  <si>
    <t>x1</t>
  </si>
  <si>
    <t>x2</t>
  </si>
  <si>
    <t>f(x2)</t>
  </si>
  <si>
    <t>f(x1)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</si>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</sst>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70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Formulas="1" tabSelected="1" workbookViewId="0">
      <selection activeCell="A5" sqref="A5"/>
    </sheetView>
  </sheetViews>
  <sheetFormatPr defaultColWidth="7.77734375" defaultRowHeight="14.4" x14ac:dyDescent="0.3"/>
  <cols>
    <col min="1" max="1" width="3.33203125" bestFit="1" customWidth="1"/>
    <col min="2" max="2" width="13.109375" bestFit="1" customWidth="1"/>
    <col min="3" max="3" width="13" bestFit="1" customWidth="1"/>
    <col min="4" max="4" width="4.77734375" bestFit="1" customWidth="1"/>
    <col min="5" max="5" width="7.6640625" bestFit="1" customWidth="1"/>
    <col min="6" max="6" width="7.88671875" bestFit="1" customWidth="1"/>
    <col min="7" max="7" width="9.21875" bestFit="1" customWidth="1"/>
    <col min="8" max="8" width="9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K1" t="s">
        <v>8</v>
      </c>
    </row>
    <row r="2" spans="1:11" x14ac:dyDescent="0.3">
      <c r="A2" s="1">
        <v>1</v>
      </c>
      <c r="B2" s="1">
        <v>0</v>
      </c>
      <c r="C2" s="2">
        <v>10</v>
      </c>
      <c r="D2" s="2">
        <f>C2-B2</f>
        <v>10</v>
      </c>
      <c r="E2" s="2">
        <f>C2-$K$2*D2</f>
        <v>3.8200000000000003</v>
      </c>
      <c r="F2" s="2">
        <f>B2+$K$2*D2</f>
        <v>6.18</v>
      </c>
      <c r="G2" s="2">
        <f>(E2+1)+1/(E2+1)</f>
        <v>5.0274688796680502</v>
      </c>
      <c r="H2" s="2">
        <f>(F2+1)+1/(F2+1)</f>
        <v>7.3192757660167125</v>
      </c>
      <c r="K2">
        <v>0.61799999999999999</v>
      </c>
    </row>
    <row r="3" spans="1:11" x14ac:dyDescent="0.3">
      <c r="A3" s="1">
        <v>2</v>
      </c>
      <c r="B3" s="1">
        <f>IF(G2&gt;H2, E2, B2)</f>
        <v>0</v>
      </c>
      <c r="C3" s="2">
        <f>IF(G2&gt;H2, C2, F2)</f>
        <v>6.18</v>
      </c>
      <c r="D3" s="2">
        <f>C3-B3</f>
        <v>6.18</v>
      </c>
      <c r="E3" s="2">
        <f>C3-$K$2*D3</f>
        <v>2.36076</v>
      </c>
      <c r="F3" s="2">
        <f>B3+$K$2*D3</f>
        <v>3.8192399999999997</v>
      </c>
      <c r="G3" s="2">
        <f>(E3+1)+1/(E3+1)</f>
        <v>3.6583117442483246</v>
      </c>
      <c r="H3" s="2">
        <f>(F3+1)+1/(F3+1)</f>
        <v>5.0267415977623022</v>
      </c>
    </row>
    <row r="4" spans="1:11" x14ac:dyDescent="0.3">
      <c r="A4" s="1">
        <v>3</v>
      </c>
      <c r="B4" s="1">
        <f>IF(G3&gt;H3, E3, B3)</f>
        <v>0</v>
      </c>
      <c r="C4" s="2">
        <f>IF(G3&gt;H3, C3, F3)</f>
        <v>3.8192399999999997</v>
      </c>
      <c r="D4" s="2">
        <f>C4-B4</f>
        <v>3.8192399999999997</v>
      </c>
      <c r="E4" s="2">
        <f>C4-$K$2*D4</f>
        <v>1.4589496799999999</v>
      </c>
      <c r="F4" s="2">
        <f>B4+$K$2*D4</f>
        <v>2.3602903199999998</v>
      </c>
      <c r="G4" s="2">
        <f>(E4+1)+1/(E4+1)</f>
        <v>2.8656273798868881</v>
      </c>
      <c r="H4" s="2">
        <f>(F4+1)+1/(F4+1)</f>
        <v>3.657883654137867</v>
      </c>
    </row>
    <row r="5" spans="1:11" x14ac:dyDescent="0.3">
      <c r="A5" s="1">
        <v>4</v>
      </c>
      <c r="B5" s="1">
        <f t="shared" ref="B5:B11" si="0">IF(G4&gt;H4, E4, B4)</f>
        <v>0</v>
      </c>
      <c r="C5" s="2">
        <f t="shared" ref="C5:C11" si="1">IF(G4&gt;H4, C4, F4)</f>
        <v>2.3602903199999998</v>
      </c>
      <c r="D5" s="2">
        <f t="shared" ref="D5:D11" si="2">C5-B5</f>
        <v>2.3602903199999998</v>
      </c>
      <c r="E5" s="2">
        <f t="shared" ref="E5:E11" si="3">C5-$K$2*D5</f>
        <v>0.90163090223999998</v>
      </c>
      <c r="F5" s="2">
        <f t="shared" ref="F5:F11" si="4">B5+$K$2*D5</f>
        <v>1.4586594177599999</v>
      </c>
      <c r="G5" s="2">
        <f t="shared" ref="G5:G11" si="5">(E5+1)+1/(E5+1)</f>
        <v>2.4274953056960356</v>
      </c>
      <c r="H5" s="2">
        <f t="shared" ref="H5:H11" si="6">(F5+1)+1/(F5+1)</f>
        <v>2.8653851288432639</v>
      </c>
    </row>
    <row r="6" spans="1:11" x14ac:dyDescent="0.3">
      <c r="A6" s="1">
        <v>5</v>
      </c>
      <c r="B6" s="1">
        <f t="shared" si="0"/>
        <v>0</v>
      </c>
      <c r="C6" s="2">
        <f t="shared" si="1"/>
        <v>1.4586594177599999</v>
      </c>
      <c r="D6" s="2">
        <f t="shared" si="2"/>
        <v>1.4586594177599999</v>
      </c>
      <c r="E6" s="2">
        <f t="shared" si="3"/>
        <v>0.55720789758431999</v>
      </c>
      <c r="F6" s="2">
        <f t="shared" si="4"/>
        <v>0.90145152017567987</v>
      </c>
      <c r="G6" s="2">
        <f t="shared" si="5"/>
        <v>2.1993829093802972</v>
      </c>
      <c r="H6" s="2">
        <f t="shared" si="6"/>
        <v>2.4273655334383517</v>
      </c>
    </row>
    <row r="7" spans="1:11" x14ac:dyDescent="0.3">
      <c r="A7" s="1">
        <v>6</v>
      </c>
      <c r="B7" s="1">
        <f t="shared" si="0"/>
        <v>0</v>
      </c>
      <c r="C7" s="2">
        <f t="shared" si="1"/>
        <v>0.90145152017567987</v>
      </c>
      <c r="D7" s="2">
        <f t="shared" si="2"/>
        <v>0.90145152017567987</v>
      </c>
      <c r="E7" s="2">
        <f t="shared" si="3"/>
        <v>0.34435448070710972</v>
      </c>
      <c r="F7" s="2">
        <f t="shared" si="4"/>
        <v>0.55709703946857014</v>
      </c>
      <c r="G7" s="2">
        <f t="shared" si="5"/>
        <v>2.0882059085492779</v>
      </c>
      <c r="H7" s="2">
        <f t="shared" si="6"/>
        <v>2.1993177711586744</v>
      </c>
    </row>
    <row r="8" spans="1:11" x14ac:dyDescent="0.3">
      <c r="A8" s="1">
        <v>7</v>
      </c>
      <c r="B8" s="1">
        <f t="shared" si="0"/>
        <v>0</v>
      </c>
      <c r="C8" s="2">
        <f t="shared" si="1"/>
        <v>0.55709703946857014</v>
      </c>
      <c r="D8" s="2">
        <f t="shared" si="2"/>
        <v>0.55709703946857014</v>
      </c>
      <c r="E8" s="2">
        <f t="shared" si="3"/>
        <v>0.21281106907699382</v>
      </c>
      <c r="F8" s="2">
        <f t="shared" si="4"/>
        <v>0.34428597039157632</v>
      </c>
      <c r="G8" s="2">
        <f t="shared" si="5"/>
        <v>2.0373418022612206</v>
      </c>
      <c r="H8" s="2">
        <f t="shared" si="6"/>
        <v>2.0881753079472682</v>
      </c>
    </row>
    <row r="9" spans="1:11" x14ac:dyDescent="0.3">
      <c r="A9" s="1">
        <v>8</v>
      </c>
      <c r="B9" s="1">
        <f t="shared" si="0"/>
        <v>0</v>
      </c>
      <c r="C9" s="2">
        <f t="shared" si="1"/>
        <v>0.34428597039157632</v>
      </c>
      <c r="D9" s="2">
        <f t="shared" si="2"/>
        <v>0.34428597039157632</v>
      </c>
      <c r="E9" s="2">
        <f t="shared" si="3"/>
        <v>0.13151724068958215</v>
      </c>
      <c r="F9" s="2">
        <f t="shared" si="4"/>
        <v>0.21276872970199417</v>
      </c>
      <c r="G9" s="2">
        <f t="shared" si="5"/>
        <v>2.0152863641636252</v>
      </c>
      <c r="H9" s="2">
        <f t="shared" si="6"/>
        <v>2.0373282483545929</v>
      </c>
    </row>
    <row r="10" spans="1:11" x14ac:dyDescent="0.3">
      <c r="A10" s="1">
        <v>9</v>
      </c>
      <c r="B10" s="1">
        <f t="shared" si="0"/>
        <v>0</v>
      </c>
      <c r="C10" s="2">
        <f t="shared" si="1"/>
        <v>0.21276872970199417</v>
      </c>
      <c r="D10" s="2">
        <f t="shared" si="2"/>
        <v>0.21276872970199417</v>
      </c>
      <c r="E10" s="2">
        <f t="shared" si="3"/>
        <v>8.1277654746161776E-2</v>
      </c>
      <c r="F10" s="2">
        <f t="shared" si="4"/>
        <v>0.1314910749558324</v>
      </c>
      <c r="G10" s="2">
        <f t="shared" si="5"/>
        <v>2.0061094919811202</v>
      </c>
      <c r="H10" s="2">
        <f t="shared" si="6"/>
        <v>2.0152806355929189</v>
      </c>
    </row>
    <row r="11" spans="1:11" x14ac:dyDescent="0.3">
      <c r="A11" s="1">
        <v>10</v>
      </c>
      <c r="B11" s="1">
        <f t="shared" si="0"/>
        <v>0</v>
      </c>
      <c r="C11" s="2">
        <f t="shared" si="1"/>
        <v>0.1314910749558324</v>
      </c>
      <c r="D11" s="2">
        <f t="shared" si="2"/>
        <v>0.1314910749558324</v>
      </c>
      <c r="E11" s="2">
        <f t="shared" si="3"/>
        <v>5.0229590633127971E-2</v>
      </c>
      <c r="F11" s="2">
        <f t="shared" si="4"/>
        <v>8.1261484322704428E-2</v>
      </c>
      <c r="G11" s="2">
        <f t="shared" si="5"/>
        <v>2.0024023430663869</v>
      </c>
      <c r="H11" s="2">
        <f t="shared" si="6"/>
        <v>2.0061071525528957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 Admin</cp:lastModifiedBy>
  <dcterms:created xsi:type="dcterms:W3CDTF">2015-06-05T18:17:20Z</dcterms:created>
  <dcterms:modified xsi:type="dcterms:W3CDTF">2026-03-22T08:06:53Z</dcterms:modified>
</cp:coreProperties>
</file>