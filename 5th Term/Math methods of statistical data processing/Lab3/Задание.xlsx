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iles\University_Files\5th Term\Math methods of statistical data processing\Lab3\"/>
    </mc:Choice>
  </mc:AlternateContent>
  <xr:revisionPtr revIDLastSave="0" documentId="13_ncr:1_{2643D927-461A-45AA-A35D-6562718853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olver_adj" localSheetId="0" hidden="1">Sheet1!$D$10:$D$13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Sheet1!$D$10</definedName>
    <definedName name="solver_lhs2" localSheetId="0" hidden="1">Sheet1!$D$12</definedName>
    <definedName name="solver_lhs3" localSheetId="0" hidden="1">Sheet1!$D$12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Sheet1!$G$3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hs1" localSheetId="0" hidden="1">0.1</definedName>
    <definedName name="solver_rhs2" localSheetId="0" hidden="1">0.2</definedName>
    <definedName name="solver_rhs3" localSheetId="0" hidden="1">0.2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" l="1"/>
  <c r="F4" i="1"/>
  <c r="F5" i="1"/>
  <c r="F6" i="1"/>
  <c r="F7" i="1"/>
  <c r="F8" i="1"/>
  <c r="F3" i="1"/>
  <c r="C14" i="1"/>
  <c r="D4" i="1"/>
  <c r="D5" i="1"/>
  <c r="D6" i="1"/>
  <c r="D7" i="1"/>
  <c r="D8" i="1"/>
  <c r="D3" i="1"/>
  <c r="F15" i="1" l="1"/>
  <c r="F16" i="1" s="1"/>
  <c r="C15" i="1"/>
  <c r="C16" i="1" s="1"/>
  <c r="G3" i="1" a="1"/>
  <c r="G3" i="1" s="1"/>
  <c r="E3" i="1" a="1"/>
  <c r="E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<sst xmlns="http://schemas.openxmlformats.org/spreadsheetml/2006/main" count="23" uniqueCount="17">
  <si>
    <t>x</t>
  </si>
  <si>
    <t>y</t>
  </si>
  <si>
    <t>a</t>
  </si>
  <si>
    <t>b</t>
  </si>
  <si>
    <t>c</t>
  </si>
  <si>
    <t>ym</t>
  </si>
  <si>
    <t>W</t>
  </si>
  <si>
    <t>Dy</t>
  </si>
  <si>
    <t>Dym</t>
  </si>
  <si>
    <t>Q</t>
  </si>
  <si>
    <t>Квадратичная</t>
  </si>
  <si>
    <t>Кубическая</t>
  </si>
  <si>
    <t>Квард</t>
  </si>
  <si>
    <t>Кубич</t>
  </si>
  <si>
    <t>d</t>
  </si>
  <si>
    <t>Квадр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</si>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</sst>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6" fontId="0" fillId="0" borderId="0" xfId="0" applyNumberFormat="1"/>
    <xf numFmtId="165" fontId="0" fillId="0" borderId="5" xfId="0" applyNumberFormat="1" applyBorder="1"/>
    <xf numFmtId="165" fontId="0" fillId="0" borderId="7" xfId="0" applyNumberFormat="1" applyBorder="1"/>
    <xf numFmtId="0" fontId="0" fillId="0" borderId="10" xfId="0" applyBorder="1"/>
    <xf numFmtId="165" fontId="0" fillId="0" borderId="11" xfId="0" applyNumberForma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/>
    <xf numFmtId="0" fontId="1" fillId="0" borderId="14" xfId="0" applyFont="1" applyBorder="1"/>
    <xf numFmtId="0" fontId="0" fillId="0" borderId="9" xfId="0" applyBorder="1"/>
    <xf numFmtId="166" fontId="0" fillId="0" borderId="15" xfId="0" applyNumberFormat="1" applyBorder="1"/>
    <xf numFmtId="0" fontId="0" fillId="0" borderId="1" xfId="0" applyBorder="1"/>
    <xf numFmtId="166" fontId="0" fillId="0" borderId="16" xfId="0" applyNumberFormat="1" applyBorder="1"/>
    <xf numFmtId="166" fontId="0" fillId="0" borderId="17" xfId="0" applyNumberFormat="1" applyBorder="1"/>
    <xf numFmtId="0" fontId="0" fillId="0" borderId="18" xfId="0" applyBorder="1"/>
    <xf numFmtId="2" fontId="0" fillId="0" borderId="14" xfId="0" applyNumberFormat="1" applyBorder="1"/>
    <xf numFmtId="0" fontId="2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2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1" xfId="0" applyBorder="1"/>
    <xf numFmtId="0" fontId="0" fillId="0" borderId="8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Sheet1!$B$3:$B$8</c:f>
              <c:numCache>
                <c:formatCode>0.0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Sheet1!$C$3:$C$8</c:f>
              <c:numCache>
                <c:formatCode>0.000</c:formatCode>
                <c:ptCount val="6"/>
                <c:pt idx="0">
                  <c:v>-2.64</c:v>
                </c:pt>
                <c:pt idx="1">
                  <c:v>-0.91800000000000004</c:v>
                </c:pt>
                <c:pt idx="2">
                  <c:v>-2.2989999999999999</c:v>
                </c:pt>
                <c:pt idx="3">
                  <c:v>2.8839999999999999</c:v>
                </c:pt>
                <c:pt idx="4">
                  <c:v>0.86599999999999999</c:v>
                </c:pt>
                <c:pt idx="5">
                  <c:v>3.3490000000000002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01-43C7-B5F3-F7E7A4766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648543"/>
        <c:axId val="1034651903"/>
      </c:scatterChart>
      <c:valAx>
        <c:axId val="1034648543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651903"/>
        <c:crosses val="autoZero"/>
        <c:crossBetween val="midCat"/>
      </c:valAx>
      <c:valAx>
        <c:axId val="10346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64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Sheet1!$B$3:$B$8</c:f>
              <c:numCache>
                <c:formatCode>0.0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Sheet1!$D$3:$D$8</c:f>
              <c:numCache>
                <c:formatCode>General</c:formatCode>
                <c:ptCount val="6"/>
                <c:pt idx="0">
                  <c:v>0</c:v>
                </c:pt>
                <c:pt idx="1">
                  <c:v>2.4999999999999994E-2</c:v>
                </c:pt>
                <c:pt idx="2">
                  <c:v>9.9999999999999978E-2</c:v>
                </c:pt>
                <c:pt idx="3">
                  <c:v>0.22499999999999995</c:v>
                </c:pt>
                <c:pt idx="4">
                  <c:v>0.39999999999999991</c:v>
                </c:pt>
                <c:pt idx="5">
                  <c:v>0.62499999999999989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CC-49B7-96E2-FCC28900B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648543"/>
        <c:axId val="1034651903"/>
      </c:scatterChart>
      <c:valAx>
        <c:axId val="1034648543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651903"/>
        <c:crosses val="autoZero"/>
        <c:crossBetween val="midCat"/>
      </c:valAx>
      <c:valAx>
        <c:axId val="10346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64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Sheet1!$B$3:$B$8</c:f>
              <c:numCache>
                <c:formatCode>0.0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xVal>
          <c:yVal>
            <c:numRef>
              <c:f>Sheet1!$F$3:$F$8</c:f>
              <c:numCache>
                <c:formatCode>General</c:formatCode>
                <c:ptCount val="6"/>
                <c:pt idx="0">
                  <c:v>0</c:v>
                </c:pt>
                <c:pt idx="1">
                  <c:v>1.2499999999999997E-2</c:v>
                </c:pt>
                <c:pt idx="2">
                  <c:v>9.9999999999999978E-2</c:v>
                </c:pt>
                <c:pt idx="3">
                  <c:v>0.33749999999999991</c:v>
                </c:pt>
                <c:pt idx="4">
                  <c:v>0.79999999999999982</c:v>
                </c:pt>
                <c:pt idx="5">
                  <c:v>1.5624999999999998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4D-4AD3-B93D-BE1B863CF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648543"/>
        <c:axId val="1034651903"/>
      </c:scatterChart>
      <c:valAx>
        <c:axId val="1034648543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651903"/>
        <c:crosses val="autoZero"/>
        <c:crossBetween val="midCat"/>
      </c:valAx>
      <c:valAx>
        <c:axId val="10346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64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</xdr:row>
      <xdr:rowOff>175260</xdr:rowOff>
    </xdr:from>
    <xdr:to>
      <xdr:col>13</xdr:col>
      <xdr:colOff>541020</xdr:colOff>
      <xdr:row>13</xdr:row>
      <xdr:rowOff>129540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C3EBFC4-54DB-757D-2E78-EEF897D20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708</xdr:colOff>
      <xdr:row>14</xdr:row>
      <xdr:rowOff>104376</xdr:rowOff>
    </xdr:from>
    <xdr:to>
      <xdr:col>13</xdr:col>
      <xdr:colOff>535881</xdr:colOff>
      <xdr:row>26</xdr:row>
      <xdr:rowOff>85238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76ECEC8-654E-4FF4-8D29-38FF6B91F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602512</xdr:colOff>
      <xdr:row>26</xdr:row>
      <xdr:rowOff>106325</xdr:rowOff>
    </xdr:from>
    <xdr:to>
      <xdr:col>13</xdr:col>
      <xdr:colOff>526312</xdr:colOff>
      <xdr:row>38</xdr:row>
      <xdr:rowOff>87188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643571E-AF83-40F9-B8F8-1D5495087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10" zoomScale="86" zoomScaleNormal="86" workbookViewId="0">
      <selection activeCell="R26" sqref="R26"/>
    </sheetView>
  </sheetViews>
  <sheetFormatPr defaultRowHeight="14.4" x14ac:dyDescent="0.3"/>
  <cols>
    <col min="5" max="5" width="9.6640625" customWidth="1"/>
  </cols>
  <sheetData>
    <row r="1" spans="1:7" ht="15" thickBot="1" x14ac:dyDescent="0.35">
      <c r="D1" s="17" t="s">
        <v>10</v>
      </c>
      <c r="E1" s="17"/>
      <c r="F1" s="18" t="s">
        <v>11</v>
      </c>
      <c r="G1" s="18"/>
    </row>
    <row r="2" spans="1:7" ht="15" thickBot="1" x14ac:dyDescent="0.35">
      <c r="B2" s="6" t="s">
        <v>0</v>
      </c>
      <c r="C2" s="7" t="s">
        <v>1</v>
      </c>
      <c r="D2" s="8" t="s">
        <v>5</v>
      </c>
      <c r="E2" s="9" t="s">
        <v>6</v>
      </c>
      <c r="F2" s="8" t="s">
        <v>5</v>
      </c>
      <c r="G2" s="9" t="s">
        <v>6</v>
      </c>
    </row>
    <row r="3" spans="1:7" ht="15" thickBot="1" x14ac:dyDescent="0.35">
      <c r="B3" s="5">
        <v>0</v>
      </c>
      <c r="C3" s="13">
        <v>-2.64</v>
      </c>
      <c r="D3" s="10">
        <f>$C$10*B3*B3+$C$11*B3+$C$12</f>
        <v>0</v>
      </c>
      <c r="E3" s="16" cm="1">
        <f t="array" ref="E3">POWER(SUM(C3:C8-D3:D8),2)</f>
        <v>1.7689000000000003E-2</v>
      </c>
      <c r="F3" s="10">
        <f>$D$10*B3*B3*B3+$D$11*B3*B3+$D$12*B3+$D$13</f>
        <v>0</v>
      </c>
      <c r="G3" s="16" cm="1">
        <f t="array" ref="G3">POWER(SUM(C3:C8-F3:F8),2)</f>
        <v>2.4664702499999978</v>
      </c>
    </row>
    <row r="4" spans="1:7" ht="15" thickBot="1" x14ac:dyDescent="0.35">
      <c r="B4" s="2">
        <v>0.5</v>
      </c>
      <c r="C4" s="11">
        <v>-0.91800000000000004</v>
      </c>
      <c r="D4" s="15">
        <f t="shared" ref="D4:F8" si="0">$C$10*B4*B4+$C$11*B4+$C$12</f>
        <v>2.4999999999999994E-2</v>
      </c>
      <c r="F4" s="10">
        <f t="shared" ref="F4:F8" si="1">$D$10*B4*B4*B4+$D$11*B4*B4+$D$12*B4+$D$13</f>
        <v>1.2499999999999997E-2</v>
      </c>
    </row>
    <row r="5" spans="1:7" ht="15" thickBot="1" x14ac:dyDescent="0.35">
      <c r="B5" s="2">
        <v>1</v>
      </c>
      <c r="C5" s="11">
        <v>-2.2989999999999999</v>
      </c>
      <c r="D5" s="15">
        <f t="shared" si="0"/>
        <v>9.9999999999999978E-2</v>
      </c>
      <c r="F5" s="10">
        <f t="shared" si="1"/>
        <v>9.9999999999999978E-2</v>
      </c>
    </row>
    <row r="6" spans="1:7" ht="15" thickBot="1" x14ac:dyDescent="0.35">
      <c r="B6" s="2">
        <v>1.5</v>
      </c>
      <c r="C6" s="11">
        <v>2.8839999999999999</v>
      </c>
      <c r="D6" s="15">
        <f t="shared" si="0"/>
        <v>0.22499999999999995</v>
      </c>
      <c r="F6" s="10">
        <f t="shared" si="1"/>
        <v>0.33749999999999991</v>
      </c>
    </row>
    <row r="7" spans="1:7" ht="15" thickBot="1" x14ac:dyDescent="0.35">
      <c r="B7" s="2">
        <v>2</v>
      </c>
      <c r="C7" s="11">
        <v>0.86599999999999999</v>
      </c>
      <c r="D7" s="15">
        <f t="shared" si="0"/>
        <v>0.39999999999999991</v>
      </c>
      <c r="F7" s="10">
        <f t="shared" si="1"/>
        <v>0.79999999999999982</v>
      </c>
    </row>
    <row r="8" spans="1:7" ht="15" thickBot="1" x14ac:dyDescent="0.35">
      <c r="B8" s="3">
        <v>2.5</v>
      </c>
      <c r="C8" s="14">
        <v>3.3490000000000002</v>
      </c>
      <c r="D8" s="4">
        <f t="shared" si="0"/>
        <v>0.62499999999999989</v>
      </c>
      <c r="F8" s="10">
        <f t="shared" si="1"/>
        <v>1.5624999999999998</v>
      </c>
    </row>
    <row r="9" spans="1:7" x14ac:dyDescent="0.3">
      <c r="C9" t="s">
        <v>12</v>
      </c>
      <c r="D9" t="s">
        <v>13</v>
      </c>
      <c r="F9" s="1"/>
    </row>
    <row r="10" spans="1:7" x14ac:dyDescent="0.3">
      <c r="B10" t="s">
        <v>2</v>
      </c>
      <c r="C10" s="1">
        <v>9.9999999999999978E-2</v>
      </c>
      <c r="D10">
        <v>9.9999999999999978E-2</v>
      </c>
    </row>
    <row r="11" spans="1:7" x14ac:dyDescent="0.3">
      <c r="B11" t="s">
        <v>3</v>
      </c>
      <c r="C11" s="1">
        <v>0</v>
      </c>
      <c r="D11">
        <v>0</v>
      </c>
    </row>
    <row r="12" spans="1:7" x14ac:dyDescent="0.3">
      <c r="B12" t="s">
        <v>4</v>
      </c>
      <c r="C12" s="1">
        <v>0</v>
      </c>
      <c r="D12">
        <v>0</v>
      </c>
    </row>
    <row r="13" spans="1:7" ht="15" thickBot="1" x14ac:dyDescent="0.35">
      <c r="B13" t="s">
        <v>14</v>
      </c>
      <c r="D13">
        <v>0</v>
      </c>
    </row>
    <row r="14" spans="1:7" x14ac:dyDescent="0.3">
      <c r="A14" s="19" t="s">
        <v>15</v>
      </c>
      <c r="B14" s="20" t="s">
        <v>7</v>
      </c>
      <c r="C14" s="21">
        <f>VAR(C3:C8)</f>
        <v>6.6247688</v>
      </c>
      <c r="D14" s="27" t="s">
        <v>13</v>
      </c>
      <c r="E14" s="20" t="s">
        <v>7</v>
      </c>
      <c r="F14" s="21">
        <f>VAR(C3:C8)</f>
        <v>6.6247688</v>
      </c>
    </row>
    <row r="15" spans="1:7" x14ac:dyDescent="0.3">
      <c r="A15" s="22"/>
      <c r="B15" s="12" t="s">
        <v>8</v>
      </c>
      <c r="C15" s="23">
        <f>VAR(D3:D8)</f>
        <v>5.9354166666666652E-2</v>
      </c>
      <c r="D15" s="28"/>
      <c r="E15" s="12" t="s">
        <v>8</v>
      </c>
      <c r="F15" s="23">
        <f>VAR(F3:F8)</f>
        <v>0.37742187499999985</v>
      </c>
    </row>
    <row r="16" spans="1:7" ht="15" thickBot="1" x14ac:dyDescent="0.35">
      <c r="A16" s="24"/>
      <c r="B16" s="25" t="s">
        <v>9</v>
      </c>
      <c r="C16" s="26">
        <f>SQRT(1-C15/C14)</f>
        <v>0.99551020478740782</v>
      </c>
      <c r="D16" s="29"/>
      <c r="E16" s="25" t="s">
        <v>9</v>
      </c>
      <c r="F16" s="26">
        <f>SQRT(1-F15/F14)</f>
        <v>0.97109663380402622</v>
      </c>
    </row>
    <row r="18" spans="2:2" x14ac:dyDescent="0.3">
      <c r="B18" t="s">
        <v>16</v>
      </c>
    </row>
  </sheetData>
  <mergeCells count="2">
    <mergeCell ref="D1:E1"/>
    <mergeCell ref="F1:G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 Admin</cp:lastModifiedBy>
  <dcterms:created xsi:type="dcterms:W3CDTF">2015-06-05T18:17:20Z</dcterms:created>
  <dcterms:modified xsi:type="dcterms:W3CDTF">2025-10-20T11:01:10Z</dcterms:modified>
</cp:coreProperties>
</file>