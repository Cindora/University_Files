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iles\University_Files\7th Term\Проектирование ИС\2-неделя\"/>
    </mc:Choice>
  </mc:AlternateContent>
  <xr:revisionPtr revIDLastSave="0" documentId="13_ncr:1_{B95BF058-0FDD-44EB-9B8A-2BBA4E9B4C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J15" i="1" l="1"/>
  <c r="H2" i="1" l="1"/>
  <c r="N4" i="1"/>
  <c r="N9" i="1"/>
  <c r="N10" i="1"/>
  <c r="N11" i="1"/>
  <c r="N12" i="1"/>
  <c r="N16" i="1"/>
  <c r="N20" i="1"/>
  <c r="N18" i="1"/>
  <c r="N15" i="1"/>
  <c r="N8" i="1"/>
  <c r="N3" i="1"/>
  <c r="N13" i="1"/>
  <c r="N7" i="1"/>
  <c r="C16" i="3"/>
  <c r="G14" i="3" s="1"/>
  <c r="C15" i="3"/>
  <c r="I14" i="3"/>
  <c r="C14" i="3"/>
  <c r="G13" i="3" s="1"/>
  <c r="C13" i="3"/>
  <c r="C12" i="3"/>
  <c r="I11" i="3"/>
  <c r="C11" i="3"/>
  <c r="G11" i="3" s="1"/>
  <c r="C10" i="3"/>
  <c r="G18" i="3" s="1"/>
  <c r="I18" i="3" s="1"/>
  <c r="C9" i="3"/>
  <c r="I8" i="3"/>
  <c r="C8" i="3"/>
  <c r="C7" i="3"/>
  <c r="C6" i="3"/>
  <c r="G8" i="3" s="1"/>
  <c r="C5" i="3"/>
  <c r="C4" i="3"/>
  <c r="B7" i="2"/>
  <c r="B6" i="2"/>
  <c r="H9" i="1" s="1"/>
  <c r="J9" i="1" s="1"/>
  <c r="B5" i="2"/>
  <c r="G2" i="1" s="1"/>
  <c r="J12" i="1"/>
  <c r="H12" i="1"/>
  <c r="H11" i="1"/>
  <c r="J11" i="1" s="1"/>
  <c r="H10" i="1"/>
  <c r="J10" i="1" s="1"/>
  <c r="H8" i="1"/>
  <c r="J8" i="1" s="1"/>
  <c r="H4" i="1"/>
  <c r="J4" i="1" s="1"/>
  <c r="G4" i="1"/>
  <c r="J3" i="1"/>
  <c r="H3" i="1"/>
  <c r="J2" i="1"/>
  <c r="G10" i="3" l="1"/>
  <c r="I10" i="3" s="1"/>
  <c r="G12" i="3"/>
  <c r="G15" i="3"/>
  <c r="I15" i="3" s="1"/>
  <c r="B9" i="2"/>
  <c r="H15" i="1" s="1"/>
  <c r="G5" i="3"/>
  <c r="I5" i="3" s="1"/>
  <c r="I12" i="3"/>
  <c r="I13" i="3"/>
  <c r="G20" i="3"/>
  <c r="I20" i="3" s="1"/>
  <c r="G9" i="3"/>
  <c r="I9" i="3" s="1"/>
  <c r="G16" i="3"/>
  <c r="I16" i="3" s="1"/>
  <c r="G3" i="1"/>
  <c r="G6" i="3"/>
  <c r="G7" i="3"/>
  <c r="I7" i="3" s="1"/>
  <c r="G17" i="3"/>
  <c r="I17" i="3" s="1"/>
  <c r="G21" i="3"/>
  <c r="G19" i="3"/>
  <c r="I19" i="3" s="1"/>
  <c r="H7" i="1"/>
  <c r="J7" i="1" s="1"/>
  <c r="H6" i="1"/>
  <c r="J6" i="1" s="1"/>
  <c r="B8" i="2"/>
  <c r="H5" i="1"/>
  <c r="J5" i="1" s="1"/>
  <c r="B10" i="2"/>
  <c r="G4" i="3"/>
  <c r="I4" i="3" s="1"/>
  <c r="H16" i="1" l="1"/>
  <c r="J16" i="1" s="1"/>
  <c r="G11" i="1"/>
  <c r="G8" i="1"/>
  <c r="I21" i="3"/>
  <c r="B12" i="2"/>
  <c r="G7" i="1"/>
  <c r="G5" i="1"/>
  <c r="G10" i="1"/>
  <c r="H13" i="1"/>
  <c r="J13" i="1" s="1"/>
  <c r="B11" i="2"/>
  <c r="H14" i="1"/>
  <c r="J14" i="1" s="1"/>
  <c r="G12" i="1"/>
  <c r="G9" i="1"/>
  <c r="G6" i="1"/>
  <c r="H17" i="1"/>
  <c r="J17" i="1" s="1"/>
  <c r="I6" i="3"/>
  <c r="H18" i="1" l="1"/>
  <c r="J18" i="1" s="1"/>
  <c r="G15" i="1"/>
  <c r="B13" i="2"/>
  <c r="G13" i="1"/>
  <c r="G16" i="1"/>
  <c r="G14" i="1"/>
  <c r="H19" i="1"/>
  <c r="J19" i="1" s="1"/>
  <c r="G17" i="1"/>
  <c r="G18" i="1" l="1"/>
  <c r="C13" i="2"/>
  <c r="G19" i="1"/>
  <c r="C12" i="2" l="1"/>
  <c r="D13" i="2"/>
  <c r="C11" i="2"/>
  <c r="K18" i="1"/>
  <c r="K19" i="1"/>
  <c r="C8" i="2" l="1"/>
  <c r="K13" i="1"/>
  <c r="K15" i="1"/>
  <c r="D11" i="2"/>
  <c r="C9" i="2"/>
  <c r="I18" i="1"/>
  <c r="F18" i="1"/>
  <c r="F19" i="1"/>
  <c r="I19" i="1"/>
  <c r="K17" i="1"/>
  <c r="K16" i="1"/>
  <c r="C10" i="2"/>
  <c r="D12" i="2"/>
  <c r="K14" i="1"/>
  <c r="F16" i="1" l="1"/>
  <c r="I16" i="1"/>
  <c r="I17" i="1"/>
  <c r="F17" i="1"/>
  <c r="K8" i="1"/>
  <c r="D9" i="2"/>
  <c r="K11" i="1"/>
  <c r="I15" i="1"/>
  <c r="F15" i="1"/>
  <c r="I14" i="1"/>
  <c r="F14" i="1"/>
  <c r="I13" i="1"/>
  <c r="F13" i="1"/>
  <c r="K6" i="1"/>
  <c r="D10" i="2"/>
  <c r="K9" i="1"/>
  <c r="K12" i="1"/>
  <c r="C5" i="2"/>
  <c r="K10" i="1"/>
  <c r="K7" i="1"/>
  <c r="C6" i="2"/>
  <c r="D8" i="2"/>
  <c r="C7" i="2"/>
  <c r="K5" i="1"/>
  <c r="F10" i="1" l="1"/>
  <c r="I10" i="1"/>
  <c r="C4" i="2"/>
  <c r="D4" i="2" s="1"/>
  <c r="K2" i="1"/>
  <c r="D5" i="2"/>
  <c r="I11" i="1"/>
  <c r="F11" i="1"/>
  <c r="D7" i="2"/>
  <c r="K4" i="1"/>
  <c r="I8" i="1"/>
  <c r="F8" i="1"/>
  <c r="D6" i="2"/>
  <c r="K3" i="1"/>
  <c r="F7" i="1"/>
  <c r="I7" i="1"/>
  <c r="I12" i="1"/>
  <c r="F12" i="1"/>
  <c r="I9" i="1"/>
  <c r="F9" i="1"/>
  <c r="I6" i="1"/>
  <c r="F6" i="1"/>
  <c r="F5" i="1"/>
  <c r="I5" i="1"/>
  <c r="F2" i="1" l="1"/>
  <c r="I2" i="1"/>
  <c r="I3" i="1"/>
  <c r="F3" i="1"/>
  <c r="F4" i="1"/>
  <c r="I4" i="1"/>
  <c r="D13" i="3" l="1"/>
  <c r="D12" i="3"/>
  <c r="D16" i="3"/>
  <c r="H14" i="3" s="1"/>
  <c r="L12" i="1" s="1"/>
  <c r="D14" i="3"/>
  <c r="D15" i="3"/>
  <c r="D5" i="3"/>
  <c r="D4" i="3"/>
  <c r="D6" i="3"/>
  <c r="D10" i="3"/>
  <c r="H18" i="3" s="1"/>
  <c r="L16" i="1" s="1"/>
  <c r="D11" i="3"/>
  <c r="H11" i="3" s="1"/>
  <c r="L9" i="1" s="1"/>
  <c r="D9" i="3"/>
  <c r="D8" i="3"/>
  <c r="D7" i="3"/>
  <c r="H9" i="3" l="1"/>
  <c r="H12" i="3"/>
  <c r="H15" i="3"/>
  <c r="H8" i="3"/>
  <c r="L6" i="1" s="1"/>
  <c r="N6" i="1" s="1"/>
  <c r="H19" i="3"/>
  <c r="L17" i="1" s="1"/>
  <c r="N17" i="1" s="1"/>
  <c r="H4" i="3"/>
  <c r="L2" i="1" s="1"/>
  <c r="N2" i="1" s="1"/>
  <c r="H7" i="3"/>
  <c r="L5" i="1" s="1"/>
  <c r="N5" i="1" s="1"/>
  <c r="H21" i="3"/>
  <c r="L19" i="1" s="1"/>
  <c r="N19" i="1" s="1"/>
  <c r="H16" i="3"/>
  <c r="L14" i="1" s="1"/>
  <c r="N14" i="1" s="1"/>
  <c r="H5" i="3"/>
  <c r="H20" i="3"/>
  <c r="H10" i="3"/>
  <c r="L8" i="1" s="1"/>
  <c r="H17" i="3"/>
  <c r="H13" i="3"/>
  <c r="L11" i="1" s="1"/>
  <c r="H6" i="3"/>
  <c r="L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днс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charset val="204"/>
          </rPr>
          <t>Rn(i,j)=Tп(j)-Tp(i)-t(i,j)</t>
        </r>
      </text>
    </comment>
    <comment ref="G1" authorId="0" shapeId="0" xr:uid="{00000000-0006-0000-0000-000002000000}">
      <text>
        <r>
          <rPr>
            <sz val="11"/>
            <color theme="1"/>
            <rFont val="Calibri"/>
            <family val="2"/>
            <charset val="204"/>
          </rPr>
          <t>Rc(i,j)=Tp(j)-Tp(i)-t(i,j)</t>
        </r>
      </text>
    </comment>
    <comment ref="H1" authorId="0" shapeId="0" xr:uid="{00000000-0006-0000-0000-000003000000}">
      <text>
        <r>
          <rPr>
            <sz val="11"/>
            <color theme="1"/>
            <rFont val="Calibri"/>
            <family val="2"/>
            <charset val="204"/>
          </rPr>
          <t>Tрн(i,j)=Tp(i)</t>
        </r>
      </text>
    </comment>
    <comment ref="I1" authorId="0" shapeId="0" xr:uid="{00000000-0006-0000-0000-000004000000}">
      <text>
        <r>
          <rPr>
            <sz val="11"/>
            <color theme="1"/>
            <rFont val="Calibri"/>
            <family val="2"/>
            <charset val="204"/>
          </rPr>
          <t>Tпн(i,j)=Tпо(i,j)-Т(i,j)</t>
        </r>
      </text>
    </comment>
    <comment ref="J1" authorId="0" shapeId="0" xr:uid="{00000000-0006-0000-0000-000005000000}">
      <text>
        <r>
          <rPr>
            <sz val="11"/>
            <color theme="1"/>
            <rFont val="Calibri"/>
            <family val="2"/>
            <charset val="204"/>
          </rPr>
          <t>Tpo(i,j)=Tpн(i,j)+T(i,j)</t>
        </r>
      </text>
    </comment>
    <comment ref="K1" authorId="0" shapeId="0" xr:uid="{00000000-0006-0000-0000-000006000000}">
      <text>
        <r>
          <rPr>
            <sz val="11"/>
            <color theme="1"/>
            <rFont val="Calibri"/>
            <family val="2"/>
            <charset val="204"/>
          </rPr>
          <t>Tпо(i,j)=Тп(j)</t>
        </r>
      </text>
    </comment>
    <comment ref="L1" authorId="0" shapeId="0" xr:uid="{00000000-0006-0000-0000-000007000000}">
      <text>
        <r>
          <rPr>
            <sz val="11"/>
            <color theme="1"/>
            <rFont val="Calibri"/>
            <family val="2"/>
            <charset val="204"/>
          </rPr>
          <t>t'кp - общая продолжительность отрезков пути, проходящего через работу (i, j), совпадающих с критическим путем</t>
        </r>
      </text>
    </comment>
    <comment ref="N1" authorId="0" shapeId="0" xr:uid="{00000000-0006-0000-0000-000008000000}">
      <text>
        <r>
          <rPr>
            <sz val="11"/>
            <color theme="1"/>
            <rFont val="Calibri"/>
            <family val="2"/>
            <charset val="204"/>
          </rPr>
          <t>=ЕСЛИ(M2&gt;0,8;"напряженные";ЕСЛИ(И(M2&gt;=0,6;M2&lt;=0,8);"подкритические";"резервные"))</t>
        </r>
      </text>
    </comment>
  </commentList>
</comments>
</file>

<file path=xl/sharedStrings.xml><?xml version="1.0" encoding="utf-8"?>
<sst xmlns="http://schemas.openxmlformats.org/spreadsheetml/2006/main" count="116" uniqueCount="87">
  <si>
    <t>№</t>
  </si>
  <si>
    <t>Код работы</t>
  </si>
  <si>
    <t>Раннее время начала работы</t>
  </si>
  <si>
    <t>Позднее время начала работы</t>
  </si>
  <si>
    <t>Раннее время конца работы</t>
  </si>
  <si>
    <t>Позднее время конца работы</t>
  </si>
  <si>
    <t>Название работы</t>
  </si>
  <si>
    <t>Опирается на работы
(№ работ)</t>
  </si>
  <si>
    <t>Продолжительность работы</t>
  </si>
  <si>
    <t>Rп
Полный резерв времени</t>
  </si>
  <si>
    <t>Rс
Свободный резерв времени</t>
  </si>
  <si>
    <t>T′кр</t>
  </si>
  <si>
    <t>Коэффициент напряженности</t>
  </si>
  <si>
    <t>Зона напряженности</t>
  </si>
  <si>
    <t>Работа 1-2</t>
  </si>
  <si>
    <t>—</t>
  </si>
  <si>
    <t>1-2</t>
  </si>
  <si>
    <t>Работа 1-3</t>
  </si>
  <si>
    <t>1-3</t>
  </si>
  <si>
    <t>Работа 1-4</t>
  </si>
  <si>
    <t>1-4</t>
  </si>
  <si>
    <t>Работа 2-5</t>
  </si>
  <si>
    <t>1</t>
  </si>
  <si>
    <t>2-5</t>
  </si>
  <si>
    <t>Работа 2-7</t>
  </si>
  <si>
    <t>2-7</t>
  </si>
  <si>
    <t>Работа 3-5</t>
  </si>
  <si>
    <t>2</t>
  </si>
  <si>
    <t>3-5</t>
  </si>
  <si>
    <t>Работа 3-6</t>
  </si>
  <si>
    <t>3-6</t>
  </si>
  <si>
    <t>Работа 3-7</t>
  </si>
  <si>
    <t>3-7</t>
  </si>
  <si>
    <t>Работа 4-5</t>
  </si>
  <si>
    <t>3</t>
  </si>
  <si>
    <t>4-5</t>
  </si>
  <si>
    <t>Работа 4-6</t>
  </si>
  <si>
    <t>4-6</t>
  </si>
  <si>
    <t>Работа 4-7</t>
  </si>
  <si>
    <t>4-7</t>
  </si>
  <si>
    <t>Работа 5-8</t>
  </si>
  <si>
    <t>4; 6; 9</t>
  </si>
  <si>
    <t>5-8</t>
  </si>
  <si>
    <t>Работа 5-9</t>
  </si>
  <si>
    <t>5-9</t>
  </si>
  <si>
    <t>Работа 6-8</t>
  </si>
  <si>
    <t>7; 10</t>
  </si>
  <si>
    <t>6-8</t>
  </si>
  <si>
    <t>Работа 6-9</t>
  </si>
  <si>
    <t>6-9</t>
  </si>
  <si>
    <t>Работа 7-9</t>
  </si>
  <si>
    <t>5; 8; 11</t>
  </si>
  <si>
    <t>7-9</t>
  </si>
  <si>
    <t>Работа 8-10</t>
  </si>
  <si>
    <t>12; 14</t>
  </si>
  <si>
    <t>8-10</t>
  </si>
  <si>
    <t>Работа 9-10</t>
  </si>
  <si>
    <t>13; 15; 16</t>
  </si>
  <si>
    <t>9-10</t>
  </si>
  <si>
    <t>Коэффициент сложности сетевого графика = число работ / число событий</t>
  </si>
  <si>
    <t>Продолжительность критического пути, усл. ед.</t>
  </si>
  <si>
    <t>Событие</t>
  </si>
  <si>
    <t>Ранний срок tр</t>
  </si>
  <si>
    <t>Поздний срок tп</t>
  </si>
  <si>
    <t>Резерв события</t>
  </si>
  <si>
    <t>№ пути</t>
  </si>
  <si>
    <t>Полный путь</t>
  </si>
  <si>
    <t>Длительность</t>
  </si>
  <si>
    <t>Общие критические участки</t>
  </si>
  <si>
    <t>Максимальный путь через работу</t>
  </si>
  <si>
    <t>Выбранный полный путь</t>
  </si>
  <si>
    <t>1–2–5–8–10</t>
  </si>
  <si>
    <t>1–2–5–9–10</t>
  </si>
  <si>
    <t>1–2–7–9–10</t>
  </si>
  <si>
    <t>1–3–5–8–10</t>
  </si>
  <si>
    <t>1–3–5–9–10</t>
  </si>
  <si>
    <t>1–3–6–8–10</t>
  </si>
  <si>
    <t>1–3–6–9–10</t>
  </si>
  <si>
    <t>1–3–7–9–10</t>
  </si>
  <si>
    <t>1–4–5–8–10</t>
  </si>
  <si>
    <t>1–4–5–9–10</t>
  </si>
  <si>
    <t>1–4–6–8–10</t>
  </si>
  <si>
    <t>1–4–6–9–10</t>
  </si>
  <si>
    <t>1–4–7–9–10</t>
  </si>
  <si>
    <t>Вариант 16. Временные параметры событий</t>
  </si>
  <si>
    <t>Вариант 16. Полные пути и расчет T′кр</t>
  </si>
  <si>
    <t>Вариант 16. Желтым выделены работы критического пути (Rп =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</si>
</sst>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</font>
    <font>
      <sz val="10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FF"/>
      </patternFill>
    </fill>
    <fill>
      <patternFill patternType="solid">
        <fgColor rgb="FFBCDDE8"/>
      </patternFill>
    </fill>
    <fill>
      <patternFill patternType="solid">
        <fgColor rgb="FFC4B5D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18385E"/>
      </left>
      <right style="thin">
        <color rgb="FF18385E"/>
      </right>
      <top style="thin">
        <color rgb="FF18385E"/>
      </top>
      <bottom style="thin">
        <color rgb="FF18385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8385E"/>
      </left>
      <right style="thin">
        <color rgb="FF18385E"/>
      </right>
      <top style="thin">
        <color rgb="FF18385E"/>
      </top>
      <bottom/>
      <diagonal/>
    </border>
    <border>
      <left style="thin">
        <color rgb="FF18385E"/>
      </left>
      <right style="thin">
        <color rgb="FF18385E"/>
      </right>
      <top/>
      <bottom style="thin">
        <color rgb="FF18385E"/>
      </bottom>
      <diagonal/>
    </border>
    <border>
      <left style="medium">
        <color indexed="64"/>
      </left>
      <right style="thin">
        <color rgb="FF18385E"/>
      </right>
      <top style="medium">
        <color indexed="64"/>
      </top>
      <bottom style="thin">
        <color rgb="FF18385E"/>
      </bottom>
      <diagonal/>
    </border>
    <border>
      <left style="thin">
        <color rgb="FF18385E"/>
      </left>
      <right style="thin">
        <color rgb="FF18385E"/>
      </right>
      <top style="medium">
        <color indexed="64"/>
      </top>
      <bottom style="thin">
        <color rgb="FF18385E"/>
      </bottom>
      <diagonal/>
    </border>
    <border>
      <left style="thin">
        <color rgb="FF18385E"/>
      </left>
      <right style="medium">
        <color indexed="64"/>
      </right>
      <top style="medium">
        <color indexed="64"/>
      </top>
      <bottom style="thin">
        <color rgb="FF18385E"/>
      </bottom>
      <diagonal/>
    </border>
    <border>
      <left style="medium">
        <color indexed="64"/>
      </left>
      <right style="thin">
        <color rgb="FF18385E"/>
      </right>
      <top style="thin">
        <color rgb="FF18385E"/>
      </top>
      <bottom style="thin">
        <color rgb="FF18385E"/>
      </bottom>
      <diagonal/>
    </border>
    <border>
      <left style="thin">
        <color rgb="FF18385E"/>
      </left>
      <right style="medium">
        <color indexed="64"/>
      </right>
      <top style="thin">
        <color rgb="FF18385E"/>
      </top>
      <bottom style="thin">
        <color rgb="FF18385E"/>
      </bottom>
      <diagonal/>
    </border>
    <border>
      <left style="medium">
        <color indexed="64"/>
      </left>
      <right style="thin">
        <color rgb="FF18385E"/>
      </right>
      <top style="thin">
        <color rgb="FF18385E"/>
      </top>
      <bottom style="medium">
        <color indexed="64"/>
      </bottom>
      <diagonal/>
    </border>
    <border>
      <left style="thin">
        <color rgb="FF18385E"/>
      </left>
      <right style="thin">
        <color rgb="FF18385E"/>
      </right>
      <top style="thin">
        <color rgb="FF18385E"/>
      </top>
      <bottom style="medium">
        <color indexed="64"/>
      </bottom>
      <diagonal/>
    </border>
    <border>
      <left style="thin">
        <color rgb="FF18385E"/>
      </left>
      <right style="medium">
        <color indexed="64"/>
      </right>
      <top style="thin">
        <color rgb="FF18385E"/>
      </top>
      <bottom style="medium">
        <color indexed="64"/>
      </bottom>
      <diagonal/>
    </border>
    <border>
      <left style="thin">
        <color rgb="FF18385E"/>
      </left>
      <right style="thin">
        <color rgb="FF18385E"/>
      </right>
      <top/>
      <bottom/>
      <diagonal/>
    </border>
    <border>
      <left style="medium">
        <color indexed="64"/>
      </left>
      <right style="thin">
        <color rgb="FF18385E"/>
      </right>
      <top style="medium">
        <color indexed="64"/>
      </top>
      <bottom style="medium">
        <color indexed="64"/>
      </bottom>
      <diagonal/>
    </border>
    <border>
      <left style="thin">
        <color rgb="FF18385E"/>
      </left>
      <right style="thin">
        <color rgb="FF18385E"/>
      </right>
      <top style="medium">
        <color indexed="64"/>
      </top>
      <bottom style="medium">
        <color indexed="64"/>
      </bottom>
      <diagonal/>
    </border>
    <border>
      <left style="thin">
        <color rgb="FF18385E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0" fontId="1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8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4" fillId="9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6" fillId="10" borderId="1" xfId="0" applyNumberFormat="1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/>
    </xf>
    <xf numFmtId="0" fontId="6" fillId="11" borderId="1" xfId="0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NumberFormat="1" applyFont="1" applyFill="1" applyBorder="1" applyAlignment="1">
      <alignment horizontal="center" vertical="center" wrapText="1"/>
    </xf>
    <xf numFmtId="0" fontId="1" fillId="6" borderId="3" xfId="0" applyNumberFormat="1" applyFont="1" applyFill="1" applyBorder="1" applyAlignment="1">
      <alignment horizontal="center" vertical="center" wrapText="1"/>
    </xf>
    <xf numFmtId="1" fontId="6" fillId="10" borderId="4" xfId="0" applyNumberFormat="1" applyFont="1" applyFill="1" applyBorder="1" applyAlignment="1">
      <alignment horizontal="center" vertical="center"/>
    </xf>
    <xf numFmtId="0" fontId="6" fillId="7" borderId="4" xfId="0" applyNumberFormat="1" applyFont="1" applyFill="1" applyBorder="1" applyAlignment="1">
      <alignment horizontal="center" vertical="center"/>
    </xf>
    <xf numFmtId="0" fontId="6" fillId="10" borderId="5" xfId="0" applyNumberFormat="1" applyFont="1" applyFill="1" applyBorder="1" applyAlignment="1">
      <alignment horizontal="center" vertical="center" wrapText="1"/>
    </xf>
    <xf numFmtId="0" fontId="6" fillId="10" borderId="6" xfId="0" applyNumberFormat="1" applyFont="1" applyFill="1" applyBorder="1" applyAlignment="1">
      <alignment horizontal="center" vertical="center" wrapText="1"/>
    </xf>
    <xf numFmtId="1" fontId="6" fillId="10" borderId="6" xfId="0" applyNumberFormat="1" applyFont="1" applyFill="1" applyBorder="1" applyAlignment="1">
      <alignment horizontal="center" vertical="center" wrapText="1"/>
    </xf>
    <xf numFmtId="1" fontId="6" fillId="10" borderId="6" xfId="0" applyNumberFormat="1" applyFont="1" applyFill="1" applyBorder="1" applyAlignment="1">
      <alignment horizontal="center" vertical="center"/>
    </xf>
    <xf numFmtId="0" fontId="6" fillId="7" borderId="7" xfId="0" applyNumberFormat="1" applyFont="1" applyFill="1" applyBorder="1" applyAlignment="1">
      <alignment horizontal="center" vertical="center"/>
    </xf>
    <xf numFmtId="0" fontId="6" fillId="11" borderId="8" xfId="0" applyNumberFormat="1" applyFont="1" applyFill="1" applyBorder="1" applyAlignment="1">
      <alignment horizontal="center" vertical="center" wrapText="1"/>
    </xf>
    <xf numFmtId="0" fontId="6" fillId="7" borderId="9" xfId="0" applyNumberFormat="1" applyFont="1" applyFill="1" applyBorder="1" applyAlignment="1">
      <alignment horizontal="center" vertical="center"/>
    </xf>
    <xf numFmtId="0" fontId="6" fillId="10" borderId="10" xfId="0" applyNumberFormat="1" applyFont="1" applyFill="1" applyBorder="1" applyAlignment="1">
      <alignment horizontal="center" vertical="center" wrapText="1"/>
    </xf>
    <xf numFmtId="0" fontId="6" fillId="10" borderId="11" xfId="0" applyNumberFormat="1" applyFont="1" applyFill="1" applyBorder="1" applyAlignment="1">
      <alignment horizontal="center" vertical="center" wrapText="1"/>
    </xf>
    <xf numFmtId="1" fontId="6" fillId="10" borderId="11" xfId="0" applyNumberFormat="1" applyFont="1" applyFill="1" applyBorder="1" applyAlignment="1">
      <alignment horizontal="center" vertical="center" wrapText="1"/>
    </xf>
    <xf numFmtId="1" fontId="6" fillId="10" borderId="11" xfId="0" applyNumberFormat="1" applyFont="1" applyFill="1" applyBorder="1" applyAlignment="1">
      <alignment horizontal="center" vertical="center"/>
    </xf>
    <xf numFmtId="164" fontId="6" fillId="7" borderId="11" xfId="0" applyNumberFormat="1" applyFont="1" applyFill="1" applyBorder="1" applyAlignment="1">
      <alignment horizontal="center" vertical="center"/>
    </xf>
    <xf numFmtId="0" fontId="6" fillId="7" borderId="12" xfId="0" applyNumberFormat="1" applyFont="1" applyFill="1" applyBorder="1" applyAlignment="1">
      <alignment horizontal="center" vertical="center"/>
    </xf>
    <xf numFmtId="0" fontId="6" fillId="11" borderId="5" xfId="0" applyNumberFormat="1" applyFont="1" applyFill="1" applyBorder="1" applyAlignment="1">
      <alignment horizontal="center" vertical="center" wrapText="1"/>
    </xf>
    <xf numFmtId="0" fontId="6" fillId="11" borderId="6" xfId="0" applyNumberFormat="1" applyFont="1" applyFill="1" applyBorder="1" applyAlignment="1">
      <alignment horizontal="center" vertical="center" wrapText="1"/>
    </xf>
    <xf numFmtId="1" fontId="6" fillId="11" borderId="6" xfId="0" applyNumberFormat="1" applyFont="1" applyFill="1" applyBorder="1" applyAlignment="1">
      <alignment horizontal="center" vertical="center" wrapText="1"/>
    </xf>
    <xf numFmtId="1" fontId="6" fillId="11" borderId="6" xfId="0" applyNumberFormat="1" applyFont="1" applyFill="1" applyBorder="1" applyAlignment="1">
      <alignment horizontal="center" vertical="center"/>
    </xf>
    <xf numFmtId="0" fontId="6" fillId="10" borderId="8" xfId="0" applyNumberFormat="1" applyFont="1" applyFill="1" applyBorder="1" applyAlignment="1">
      <alignment horizontal="center" vertical="center" wrapText="1"/>
    </xf>
    <xf numFmtId="0" fontId="6" fillId="10" borderId="4" xfId="0" applyNumberFormat="1" applyFont="1" applyFill="1" applyBorder="1" applyAlignment="1">
      <alignment horizontal="center" vertical="center"/>
    </xf>
    <xf numFmtId="0" fontId="6" fillId="10" borderId="10" xfId="0" applyNumberFormat="1" applyFont="1" applyFill="1" applyBorder="1" applyAlignment="1">
      <alignment horizontal="center" vertical="center"/>
    </xf>
    <xf numFmtId="0" fontId="6" fillId="10" borderId="11" xfId="0" applyNumberFormat="1" applyFont="1" applyFill="1" applyBorder="1" applyAlignment="1">
      <alignment horizontal="center" vertical="center"/>
    </xf>
    <xf numFmtId="0" fontId="6" fillId="10" borderId="5" xfId="0" applyNumberFormat="1" applyFont="1" applyFill="1" applyBorder="1" applyAlignment="1">
      <alignment horizontal="center" vertical="center"/>
    </xf>
    <xf numFmtId="0" fontId="6" fillId="10" borderId="6" xfId="0" applyNumberFormat="1" applyFont="1" applyFill="1" applyBorder="1" applyAlignment="1">
      <alignment horizontal="center" vertical="center"/>
    </xf>
    <xf numFmtId="0" fontId="6" fillId="10" borderId="13" xfId="0" applyNumberFormat="1" applyFont="1" applyFill="1" applyBorder="1" applyAlignment="1">
      <alignment horizontal="center" vertical="center"/>
    </xf>
    <xf numFmtId="1" fontId="6" fillId="10" borderId="13" xfId="0" applyNumberFormat="1" applyFont="1" applyFill="1" applyBorder="1" applyAlignment="1">
      <alignment horizontal="center" vertical="center"/>
    </xf>
    <xf numFmtId="0" fontId="6" fillId="7" borderId="13" xfId="0" applyNumberFormat="1" applyFont="1" applyFill="1" applyBorder="1" applyAlignment="1">
      <alignment horizontal="center" vertical="center"/>
    </xf>
    <xf numFmtId="0" fontId="6" fillId="11" borderId="14" xfId="0" applyNumberFormat="1" applyFont="1" applyFill="1" applyBorder="1" applyAlignment="1">
      <alignment horizontal="center" vertical="center"/>
    </xf>
    <xf numFmtId="0" fontId="6" fillId="11" borderId="15" xfId="0" applyNumberFormat="1" applyFont="1" applyFill="1" applyBorder="1" applyAlignment="1">
      <alignment horizontal="center" vertical="center"/>
    </xf>
    <xf numFmtId="1" fontId="6" fillId="11" borderId="15" xfId="0" applyNumberFormat="1" applyFont="1" applyFill="1" applyBorder="1" applyAlignment="1">
      <alignment horizontal="center" vertical="center"/>
    </xf>
    <xf numFmtId="0" fontId="6" fillId="7" borderId="16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</cellXfs>
  <cellStyles count="1">
    <cellStyle name="Обычный" xfId="0" builtinId="0"/>
  </cellStyles>
  <dxfs count="5">
    <dxf>
      <fill>
        <patternFill patternType="solid">
          <bgColor rgb="FFFFF275"/>
        </patternFill>
      </fill>
    </dxf>
    <dxf>
      <fill>
        <patternFill patternType="solid">
          <bgColor rgb="FFD9EED2"/>
        </patternFill>
      </fill>
    </dxf>
    <dxf>
      <fill>
        <patternFill patternType="solid">
          <bgColor rgb="FFFADAD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8161e26cf50c4e69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20</xdr:row>
      <xdr:rowOff>198120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8CC9E8CF-F8CC-DDB4-CCE3-8E004531856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20</xdr:row>
      <xdr:rowOff>198120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6820FFF5-F75D-D306-DFE5-AD432EA648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14</xdr:col>
      <xdr:colOff>65314</xdr:colOff>
      <xdr:row>0</xdr:row>
      <xdr:rowOff>337457</xdr:rowOff>
    </xdr:from>
    <xdr:to>
      <xdr:col>26</xdr:col>
      <xdr:colOff>85141</xdr:colOff>
      <xdr:row>9</xdr:row>
      <xdr:rowOff>217714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BD9ED30-219F-3132-6FD9-69399DB26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0" t="20158" r="14919" b="25765"/>
        <a:stretch/>
      </xdr:blipFill>
      <xdr:spPr bwMode="auto">
        <a:xfrm>
          <a:off x="13356771" y="337457"/>
          <a:ext cx="7335027" cy="360317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днс" id="{215A0333-F203-71F6-0A92-AC494D50F60A}"/>
</xlt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="70" zoomScaleNormal="70" workbookViewId="0">
      <pane ySplit="1" topLeftCell="A2" activePane="bottomLeft" state="frozen"/>
      <selection pane="bottomLeft" activeCell="L19" sqref="L19"/>
    </sheetView>
  </sheetViews>
  <sheetFormatPr defaultRowHeight="14.4" x14ac:dyDescent="0.3"/>
  <cols>
    <col min="1" max="1" width="5" customWidth="1"/>
    <col min="2" max="2" width="18" customWidth="1"/>
    <col min="3" max="3" width="15" customWidth="1"/>
    <col min="4" max="4" width="13" customWidth="1"/>
    <col min="5" max="5" width="13" style="1" customWidth="1"/>
    <col min="6" max="12" width="13" customWidth="1"/>
    <col min="13" max="13" width="19.44140625" customWidth="1"/>
    <col min="14" max="14" width="19" customWidth="1"/>
  </cols>
  <sheetData>
    <row r="1" spans="1:14" ht="73.95" customHeight="1" thickBot="1" x14ac:dyDescent="0.35">
      <c r="A1" s="16" t="s">
        <v>0</v>
      </c>
      <c r="B1" s="16" t="s">
        <v>6</v>
      </c>
      <c r="C1" s="16" t="s">
        <v>7</v>
      </c>
      <c r="D1" s="16" t="s">
        <v>8</v>
      </c>
      <c r="E1" s="17" t="s">
        <v>1</v>
      </c>
      <c r="F1" s="18" t="s">
        <v>9</v>
      </c>
      <c r="G1" s="18" t="s">
        <v>10</v>
      </c>
      <c r="H1" s="19" t="s">
        <v>2</v>
      </c>
      <c r="I1" s="19" t="s">
        <v>3</v>
      </c>
      <c r="J1" s="19" t="s">
        <v>4</v>
      </c>
      <c r="K1" s="19" t="s">
        <v>5</v>
      </c>
      <c r="L1" s="20" t="s">
        <v>11</v>
      </c>
      <c r="M1" s="20" t="s">
        <v>12</v>
      </c>
      <c r="N1" s="21" t="s">
        <v>13</v>
      </c>
    </row>
    <row r="2" spans="1:14" ht="27" customHeight="1" thickBot="1" x14ac:dyDescent="0.35">
      <c r="A2" s="24">
        <v>1</v>
      </c>
      <c r="B2" s="25" t="s">
        <v>14</v>
      </c>
      <c r="C2" s="25" t="s">
        <v>15</v>
      </c>
      <c r="D2" s="26">
        <v>7</v>
      </c>
      <c r="E2" s="26" t="s">
        <v>16</v>
      </c>
      <c r="F2" s="27">
        <f t="shared" ref="F2:F19" si="0">K2-H2-D2</f>
        <v>2</v>
      </c>
      <c r="G2" s="27">
        <f>Лист2!B5-H2-D2</f>
        <v>0</v>
      </c>
      <c r="H2" s="27">
        <f>Лист2!B4</f>
        <v>0</v>
      </c>
      <c r="I2" s="27">
        <f>K2-D2</f>
        <v>2</v>
      </c>
      <c r="J2" s="27">
        <f>H2+D2</f>
        <v>7</v>
      </c>
      <c r="K2" s="27">
        <f>Лист2!C5</f>
        <v>9</v>
      </c>
      <c r="L2" s="27">
        <f>Лист3!H4</f>
        <v>13</v>
      </c>
      <c r="M2" s="35">
        <f>1-F2/(30-L2)</f>
        <v>0.88235294117647056</v>
      </c>
      <c r="N2" s="28" t="str">
        <f>IF(M2&gt;0.8,"напряженные",IF(AND(M2&gt;=0.6,M2&lt;=0.8),"подкритические","резервные"))</f>
        <v>напряженные</v>
      </c>
    </row>
    <row r="3" spans="1:14" ht="27" customHeight="1" thickBot="1" x14ac:dyDescent="0.35">
      <c r="A3" s="29">
        <v>2</v>
      </c>
      <c r="B3" s="13" t="s">
        <v>17</v>
      </c>
      <c r="C3" s="13" t="s">
        <v>15</v>
      </c>
      <c r="D3" s="14">
        <v>8</v>
      </c>
      <c r="E3" s="14" t="s">
        <v>18</v>
      </c>
      <c r="F3" s="15">
        <f t="shared" si="0"/>
        <v>0</v>
      </c>
      <c r="G3" s="15">
        <f>Лист2!B6-H3-D3</f>
        <v>0</v>
      </c>
      <c r="H3" s="15">
        <f>Лист2!B4</f>
        <v>0</v>
      </c>
      <c r="I3" s="15">
        <f t="shared" ref="I3:I12" si="1">K3-D3</f>
        <v>0</v>
      </c>
      <c r="J3" s="15">
        <f t="shared" ref="J3:J12" si="2">H3+D3</f>
        <v>8</v>
      </c>
      <c r="K3" s="15">
        <f>Лист2!C6</f>
        <v>8</v>
      </c>
      <c r="L3" s="15"/>
      <c r="M3" s="35">
        <f t="shared" ref="M3:M19" si="3">1-F3/(30-L3)</f>
        <v>1</v>
      </c>
      <c r="N3" s="30" t="str">
        <f t="shared" ref="N3:N19" si="4">IF(M3&gt;0.8,"напряженные",IF(AND(M3&gt;=0.6,M3&lt;=0.8),"подкритические","резервные"))</f>
        <v>напряженные</v>
      </c>
    </row>
    <row r="4" spans="1:14" ht="27" customHeight="1" thickBot="1" x14ac:dyDescent="0.35">
      <c r="A4" s="31">
        <v>3</v>
      </c>
      <c r="B4" s="32" t="s">
        <v>19</v>
      </c>
      <c r="C4" s="32" t="s">
        <v>15</v>
      </c>
      <c r="D4" s="33">
        <v>5</v>
      </c>
      <c r="E4" s="33" t="s">
        <v>20</v>
      </c>
      <c r="F4" s="34">
        <f t="shared" si="0"/>
        <v>5</v>
      </c>
      <c r="G4" s="34">
        <f>Лист2!B7-H4-D4</f>
        <v>0</v>
      </c>
      <c r="H4" s="34">
        <f>Лист2!B4</f>
        <v>0</v>
      </c>
      <c r="I4" s="34">
        <f t="shared" si="1"/>
        <v>5</v>
      </c>
      <c r="J4" s="34">
        <f t="shared" si="2"/>
        <v>5</v>
      </c>
      <c r="K4" s="34">
        <f>Лист2!C7</f>
        <v>10</v>
      </c>
      <c r="L4" s="34">
        <f>Лист3!H6</f>
        <v>3</v>
      </c>
      <c r="M4" s="35">
        <f t="shared" si="3"/>
        <v>0.81481481481481488</v>
      </c>
      <c r="N4" s="36" t="str">
        <f t="shared" si="4"/>
        <v>напряженные</v>
      </c>
    </row>
    <row r="5" spans="1:14" ht="27" customHeight="1" thickBot="1" x14ac:dyDescent="0.35">
      <c r="A5" s="24">
        <v>4</v>
      </c>
      <c r="B5" s="25" t="s">
        <v>21</v>
      </c>
      <c r="C5" s="25" t="s">
        <v>22</v>
      </c>
      <c r="D5" s="26">
        <v>8</v>
      </c>
      <c r="E5" s="26" t="s">
        <v>23</v>
      </c>
      <c r="F5" s="27">
        <f t="shared" si="0"/>
        <v>2</v>
      </c>
      <c r="G5" s="27">
        <f>Лист2!B8-H5-D5</f>
        <v>2</v>
      </c>
      <c r="H5" s="27">
        <f>Лист2!B5</f>
        <v>7</v>
      </c>
      <c r="I5" s="27">
        <f t="shared" si="1"/>
        <v>9</v>
      </c>
      <c r="J5" s="27">
        <f t="shared" si="2"/>
        <v>15</v>
      </c>
      <c r="K5" s="27">
        <f>Лист2!C8</f>
        <v>17</v>
      </c>
      <c r="L5" s="27">
        <f>Лист3!H7</f>
        <v>13</v>
      </c>
      <c r="M5" s="35">
        <f t="shared" si="3"/>
        <v>0.88235294117647056</v>
      </c>
      <c r="N5" s="28" t="str">
        <f t="shared" si="4"/>
        <v>напряженные</v>
      </c>
    </row>
    <row r="6" spans="1:14" ht="27" customHeight="1" thickBot="1" x14ac:dyDescent="0.35">
      <c r="A6" s="31">
        <v>5</v>
      </c>
      <c r="B6" s="32" t="s">
        <v>24</v>
      </c>
      <c r="C6" s="32" t="s">
        <v>22</v>
      </c>
      <c r="D6" s="33">
        <v>1</v>
      </c>
      <c r="E6" s="33" t="s">
        <v>25</v>
      </c>
      <c r="F6" s="34">
        <f t="shared" si="0"/>
        <v>12</v>
      </c>
      <c r="G6" s="34">
        <f>Лист2!B10-H6-D6</f>
        <v>3</v>
      </c>
      <c r="H6" s="34">
        <f>Лист2!B5</f>
        <v>7</v>
      </c>
      <c r="I6" s="34">
        <f t="shared" si="1"/>
        <v>19</v>
      </c>
      <c r="J6" s="34">
        <f t="shared" si="2"/>
        <v>8</v>
      </c>
      <c r="K6" s="34">
        <f>Лист2!C10</f>
        <v>20</v>
      </c>
      <c r="L6" s="34">
        <f>Лист3!H8</f>
        <v>0</v>
      </c>
      <c r="M6" s="35">
        <f t="shared" si="3"/>
        <v>0.6</v>
      </c>
      <c r="N6" s="36" t="str">
        <f t="shared" si="4"/>
        <v>подкритические</v>
      </c>
    </row>
    <row r="7" spans="1:14" ht="27" customHeight="1" thickBot="1" x14ac:dyDescent="0.35">
      <c r="A7" s="37">
        <v>6</v>
      </c>
      <c r="B7" s="38" t="s">
        <v>26</v>
      </c>
      <c r="C7" s="38" t="s">
        <v>27</v>
      </c>
      <c r="D7" s="39">
        <v>9</v>
      </c>
      <c r="E7" s="39" t="s">
        <v>28</v>
      </c>
      <c r="F7" s="40">
        <f t="shared" si="0"/>
        <v>0</v>
      </c>
      <c r="G7" s="40">
        <f>Лист2!B8-H7-D7</f>
        <v>0</v>
      </c>
      <c r="H7" s="40">
        <f>Лист2!B6</f>
        <v>8</v>
      </c>
      <c r="I7" s="40">
        <f t="shared" si="1"/>
        <v>8</v>
      </c>
      <c r="J7" s="40">
        <f t="shared" si="2"/>
        <v>17</v>
      </c>
      <c r="K7" s="40">
        <f>Лист2!C8</f>
        <v>17</v>
      </c>
      <c r="L7" s="40"/>
      <c r="M7" s="35">
        <f t="shared" si="3"/>
        <v>1</v>
      </c>
      <c r="N7" s="28" t="str">
        <f t="shared" si="4"/>
        <v>напряженные</v>
      </c>
    </row>
    <row r="8" spans="1:14" ht="27" customHeight="1" thickBot="1" x14ac:dyDescent="0.35">
      <c r="A8" s="41">
        <v>7</v>
      </c>
      <c r="B8" s="10" t="s">
        <v>29</v>
      </c>
      <c r="C8" s="10" t="s">
        <v>27</v>
      </c>
      <c r="D8" s="11">
        <v>3</v>
      </c>
      <c r="E8" s="11" t="s">
        <v>30</v>
      </c>
      <c r="F8" s="12">
        <f t="shared" si="0"/>
        <v>6</v>
      </c>
      <c r="G8" s="12">
        <f>Лист2!B9-H8-D8</f>
        <v>1</v>
      </c>
      <c r="H8" s="12">
        <f>Лист2!B6</f>
        <v>8</v>
      </c>
      <c r="I8" s="12">
        <f t="shared" si="1"/>
        <v>14</v>
      </c>
      <c r="J8" s="12">
        <f t="shared" si="2"/>
        <v>11</v>
      </c>
      <c r="K8" s="12">
        <f>Лист2!C9</f>
        <v>17</v>
      </c>
      <c r="L8" s="12">
        <f>Лист3!H10</f>
        <v>11</v>
      </c>
      <c r="M8" s="35">
        <f t="shared" si="3"/>
        <v>0.68421052631578949</v>
      </c>
      <c r="N8" s="30" t="str">
        <f t="shared" si="4"/>
        <v>подкритические</v>
      </c>
    </row>
    <row r="9" spans="1:14" ht="27" customHeight="1" thickBot="1" x14ac:dyDescent="0.35">
      <c r="A9" s="31">
        <v>8</v>
      </c>
      <c r="B9" s="32" t="s">
        <v>31</v>
      </c>
      <c r="C9" s="32" t="s">
        <v>27</v>
      </c>
      <c r="D9" s="33">
        <v>3</v>
      </c>
      <c r="E9" s="33" t="s">
        <v>32</v>
      </c>
      <c r="F9" s="34">
        <f t="shared" si="0"/>
        <v>9</v>
      </c>
      <c r="G9" s="34">
        <f>Лист2!B10-H9-D9</f>
        <v>0</v>
      </c>
      <c r="H9" s="34">
        <f>Лист2!B6</f>
        <v>8</v>
      </c>
      <c r="I9" s="34">
        <f t="shared" si="1"/>
        <v>17</v>
      </c>
      <c r="J9" s="34">
        <f t="shared" si="2"/>
        <v>11</v>
      </c>
      <c r="K9" s="34">
        <f>Лист2!C10</f>
        <v>20</v>
      </c>
      <c r="L9" s="34">
        <f>Лист3!H11</f>
        <v>8</v>
      </c>
      <c r="M9" s="35">
        <f t="shared" si="3"/>
        <v>0.59090909090909083</v>
      </c>
      <c r="N9" s="36" t="str">
        <f t="shared" si="4"/>
        <v>резервные</v>
      </c>
    </row>
    <row r="10" spans="1:14" ht="27" customHeight="1" thickBot="1" x14ac:dyDescent="0.35">
      <c r="A10" s="24">
        <v>9</v>
      </c>
      <c r="B10" s="25" t="s">
        <v>33</v>
      </c>
      <c r="C10" s="25" t="s">
        <v>34</v>
      </c>
      <c r="D10" s="26">
        <v>2</v>
      </c>
      <c r="E10" s="26" t="s">
        <v>35</v>
      </c>
      <c r="F10" s="27">
        <f t="shared" si="0"/>
        <v>10</v>
      </c>
      <c r="G10" s="27">
        <f>Лист2!B8-H10-D10</f>
        <v>10</v>
      </c>
      <c r="H10" s="27">
        <f>Лист2!B7</f>
        <v>5</v>
      </c>
      <c r="I10" s="27">
        <f t="shared" si="1"/>
        <v>15</v>
      </c>
      <c r="J10" s="27">
        <f t="shared" si="2"/>
        <v>7</v>
      </c>
      <c r="K10" s="27">
        <f>Лист2!C8</f>
        <v>17</v>
      </c>
      <c r="L10" s="34">
        <f>Лист3!H12</f>
        <v>13</v>
      </c>
      <c r="M10" s="35">
        <f t="shared" si="3"/>
        <v>0.41176470588235292</v>
      </c>
      <c r="N10" s="28" t="str">
        <f t="shared" si="4"/>
        <v>резервные</v>
      </c>
    </row>
    <row r="11" spans="1:14" ht="27" customHeight="1" thickBot="1" x14ac:dyDescent="0.35">
      <c r="A11" s="41">
        <v>10</v>
      </c>
      <c r="B11" s="10" t="s">
        <v>36</v>
      </c>
      <c r="C11" s="10" t="s">
        <v>34</v>
      </c>
      <c r="D11" s="11">
        <v>7</v>
      </c>
      <c r="E11" s="11" t="s">
        <v>37</v>
      </c>
      <c r="F11" s="12">
        <f t="shared" si="0"/>
        <v>5</v>
      </c>
      <c r="G11" s="12">
        <f>Лист2!B9-H11-D11</f>
        <v>0</v>
      </c>
      <c r="H11" s="12">
        <f>Лист2!B7</f>
        <v>5</v>
      </c>
      <c r="I11" s="12">
        <f t="shared" si="1"/>
        <v>10</v>
      </c>
      <c r="J11" s="12">
        <f t="shared" si="2"/>
        <v>12</v>
      </c>
      <c r="K11" s="12">
        <f>Лист2!C9</f>
        <v>17</v>
      </c>
      <c r="L11" s="12">
        <f>Лист3!H13</f>
        <v>3</v>
      </c>
      <c r="M11" s="35">
        <f t="shared" si="3"/>
        <v>0.81481481481481488</v>
      </c>
      <c r="N11" s="30" t="str">
        <f t="shared" si="4"/>
        <v>напряженные</v>
      </c>
    </row>
    <row r="12" spans="1:14" ht="27" customHeight="1" thickBot="1" x14ac:dyDescent="0.35">
      <c r="A12" s="31">
        <v>11</v>
      </c>
      <c r="B12" s="32" t="s">
        <v>38</v>
      </c>
      <c r="C12" s="32" t="s">
        <v>34</v>
      </c>
      <c r="D12" s="33">
        <v>1</v>
      </c>
      <c r="E12" s="33" t="s">
        <v>39</v>
      </c>
      <c r="F12" s="34">
        <f t="shared" si="0"/>
        <v>14</v>
      </c>
      <c r="G12" s="34">
        <f>Лист2!B10-H12-D12</f>
        <v>5</v>
      </c>
      <c r="H12" s="34">
        <f>Лист2!B7</f>
        <v>5</v>
      </c>
      <c r="I12" s="34">
        <f t="shared" si="1"/>
        <v>19</v>
      </c>
      <c r="J12" s="34">
        <f t="shared" si="2"/>
        <v>6</v>
      </c>
      <c r="K12" s="34">
        <f>Лист2!C10</f>
        <v>20</v>
      </c>
      <c r="L12" s="34">
        <f>Лист3!H14</f>
        <v>0</v>
      </c>
      <c r="M12" s="35">
        <f t="shared" si="3"/>
        <v>0.53333333333333333</v>
      </c>
      <c r="N12" s="36" t="str">
        <f t="shared" si="4"/>
        <v>резервные</v>
      </c>
    </row>
    <row r="13" spans="1:14" ht="27" customHeight="1" thickBot="1" x14ac:dyDescent="0.35">
      <c r="A13" s="37">
        <v>12</v>
      </c>
      <c r="B13" s="38" t="s">
        <v>40</v>
      </c>
      <c r="C13" s="38" t="s">
        <v>41</v>
      </c>
      <c r="D13" s="39">
        <v>10</v>
      </c>
      <c r="E13" s="39" t="s">
        <v>42</v>
      </c>
      <c r="F13" s="39">
        <f t="shared" si="0"/>
        <v>0</v>
      </c>
      <c r="G13" s="39">
        <f>Лист2!B11-H13-D13</f>
        <v>0</v>
      </c>
      <c r="H13" s="39">
        <f>Лист2!B8</f>
        <v>17</v>
      </c>
      <c r="I13" s="39">
        <f t="shared" ref="I13:I19" si="5">K13-D13</f>
        <v>17</v>
      </c>
      <c r="J13" s="39">
        <f t="shared" ref="J13:J19" si="6">H13+D13</f>
        <v>27</v>
      </c>
      <c r="K13" s="39">
        <f>Лист2!C11</f>
        <v>27</v>
      </c>
      <c r="L13" s="39"/>
      <c r="M13" s="35">
        <f t="shared" si="3"/>
        <v>1</v>
      </c>
      <c r="N13" s="28" t="str">
        <f t="shared" si="4"/>
        <v>напряженные</v>
      </c>
    </row>
    <row r="14" spans="1:14" ht="27" customHeight="1" thickBot="1" x14ac:dyDescent="0.35">
      <c r="A14" s="43">
        <v>13</v>
      </c>
      <c r="B14" s="44" t="s">
        <v>43</v>
      </c>
      <c r="C14" s="44" t="s">
        <v>41</v>
      </c>
      <c r="D14" s="34">
        <v>10</v>
      </c>
      <c r="E14" s="34" t="s">
        <v>44</v>
      </c>
      <c r="F14" s="34">
        <f t="shared" si="0"/>
        <v>1</v>
      </c>
      <c r="G14" s="34">
        <f>Лист2!B12-H14-D14</f>
        <v>0</v>
      </c>
      <c r="H14" s="34">
        <f>Лист2!B8</f>
        <v>17</v>
      </c>
      <c r="I14" s="34">
        <f t="shared" si="5"/>
        <v>18</v>
      </c>
      <c r="J14" s="34">
        <f t="shared" si="6"/>
        <v>27</v>
      </c>
      <c r="K14" s="34">
        <f>Лист2!C12</f>
        <v>28</v>
      </c>
      <c r="L14" s="34">
        <f>Лист3!H16</f>
        <v>17</v>
      </c>
      <c r="M14" s="35">
        <f t="shared" si="3"/>
        <v>0.92307692307692313</v>
      </c>
      <c r="N14" s="36" t="str">
        <f t="shared" si="4"/>
        <v>напряженные</v>
      </c>
    </row>
    <row r="15" spans="1:14" ht="27" customHeight="1" thickBot="1" x14ac:dyDescent="0.35">
      <c r="A15" s="45">
        <v>14</v>
      </c>
      <c r="B15" s="46" t="s">
        <v>45</v>
      </c>
      <c r="C15" s="46" t="s">
        <v>46</v>
      </c>
      <c r="D15" s="27">
        <v>10</v>
      </c>
      <c r="E15" s="27" t="s">
        <v>47</v>
      </c>
      <c r="F15" s="27">
        <f t="shared" si="0"/>
        <v>5</v>
      </c>
      <c r="G15" s="27">
        <f>Лист2!B11-H15-D15</f>
        <v>5</v>
      </c>
      <c r="H15" s="27">
        <f>Лист2!B9</f>
        <v>12</v>
      </c>
      <c r="I15" s="27">
        <f t="shared" si="5"/>
        <v>17</v>
      </c>
      <c r="J15" s="27">
        <f t="shared" si="6"/>
        <v>22</v>
      </c>
      <c r="K15" s="27">
        <f>Лист2!C11</f>
        <v>27</v>
      </c>
      <c r="L15" s="27">
        <v>11</v>
      </c>
      <c r="M15" s="35">
        <f t="shared" si="3"/>
        <v>0.73684210526315796</v>
      </c>
      <c r="N15" s="28" t="str">
        <f t="shared" si="4"/>
        <v>подкритические</v>
      </c>
    </row>
    <row r="16" spans="1:14" ht="27" customHeight="1" thickBot="1" x14ac:dyDescent="0.35">
      <c r="A16" s="43">
        <v>15</v>
      </c>
      <c r="B16" s="44" t="s">
        <v>48</v>
      </c>
      <c r="C16" s="44" t="s">
        <v>46</v>
      </c>
      <c r="D16" s="34">
        <v>8</v>
      </c>
      <c r="E16" s="34" t="s">
        <v>49</v>
      </c>
      <c r="F16" s="34">
        <f t="shared" si="0"/>
        <v>8</v>
      </c>
      <c r="G16" s="34">
        <f>Лист2!B12-H16-D16</f>
        <v>7</v>
      </c>
      <c r="H16" s="34">
        <f>Лист2!B9</f>
        <v>12</v>
      </c>
      <c r="I16" s="34">
        <f t="shared" si="5"/>
        <v>20</v>
      </c>
      <c r="J16" s="34">
        <f t="shared" si="6"/>
        <v>20</v>
      </c>
      <c r="K16" s="34">
        <f>Лист2!C12</f>
        <v>28</v>
      </c>
      <c r="L16" s="34">
        <f>Лист3!H18</f>
        <v>0</v>
      </c>
      <c r="M16" s="35">
        <f t="shared" si="3"/>
        <v>0.73333333333333339</v>
      </c>
      <c r="N16" s="36" t="str">
        <f t="shared" si="4"/>
        <v>подкритические</v>
      </c>
    </row>
    <row r="17" spans="1:14" ht="27" customHeight="1" thickBot="1" x14ac:dyDescent="0.35">
      <c r="A17" s="47">
        <v>16</v>
      </c>
      <c r="B17" s="47" t="s">
        <v>50</v>
      </c>
      <c r="C17" s="47" t="s">
        <v>51</v>
      </c>
      <c r="D17" s="48">
        <v>8</v>
      </c>
      <c r="E17" s="48" t="s">
        <v>52</v>
      </c>
      <c r="F17" s="48">
        <f t="shared" si="0"/>
        <v>9</v>
      </c>
      <c r="G17" s="48">
        <f>Лист2!B12-H17-D17</f>
        <v>8</v>
      </c>
      <c r="H17" s="48">
        <f>Лист2!B10</f>
        <v>11</v>
      </c>
      <c r="I17" s="48">
        <f t="shared" si="5"/>
        <v>20</v>
      </c>
      <c r="J17" s="48">
        <f t="shared" si="6"/>
        <v>19</v>
      </c>
      <c r="K17" s="48">
        <f>Лист2!C12</f>
        <v>28</v>
      </c>
      <c r="L17" s="48">
        <f>Лист3!H19</f>
        <v>8</v>
      </c>
      <c r="M17" s="35">
        <f t="shared" si="3"/>
        <v>0.59090909090909083</v>
      </c>
      <c r="N17" s="49" t="str">
        <f t="shared" si="4"/>
        <v>резервные</v>
      </c>
    </row>
    <row r="18" spans="1:14" ht="27" customHeight="1" thickBot="1" x14ac:dyDescent="0.35">
      <c r="A18" s="50">
        <v>17</v>
      </c>
      <c r="B18" s="51" t="s">
        <v>53</v>
      </c>
      <c r="C18" s="51" t="s">
        <v>54</v>
      </c>
      <c r="D18" s="52">
        <v>3</v>
      </c>
      <c r="E18" s="52" t="s">
        <v>55</v>
      </c>
      <c r="F18" s="52">
        <f t="shared" si="0"/>
        <v>0</v>
      </c>
      <c r="G18" s="52">
        <f>Лист2!B13-H18-D18</f>
        <v>0</v>
      </c>
      <c r="H18" s="52">
        <f>Лист2!B11</f>
        <v>27</v>
      </c>
      <c r="I18" s="52">
        <f t="shared" si="5"/>
        <v>27</v>
      </c>
      <c r="J18" s="52">
        <f t="shared" si="6"/>
        <v>30</v>
      </c>
      <c r="K18" s="52">
        <f>Лист2!C13</f>
        <v>30</v>
      </c>
      <c r="L18" s="52"/>
      <c r="M18" s="35">
        <f t="shared" si="3"/>
        <v>1</v>
      </c>
      <c r="N18" s="53" t="str">
        <f t="shared" si="4"/>
        <v>напряженные</v>
      </c>
    </row>
    <row r="19" spans="1:14" ht="27" customHeight="1" thickBot="1" x14ac:dyDescent="0.35">
      <c r="A19" s="42">
        <v>18</v>
      </c>
      <c r="B19" s="42" t="s">
        <v>56</v>
      </c>
      <c r="C19" s="42" t="s">
        <v>57</v>
      </c>
      <c r="D19" s="22">
        <v>2</v>
      </c>
      <c r="E19" s="22" t="s">
        <v>58</v>
      </c>
      <c r="F19" s="22">
        <f t="shared" si="0"/>
        <v>1</v>
      </c>
      <c r="G19" s="22">
        <f>Лист2!B13-H19-D19</f>
        <v>1</v>
      </c>
      <c r="H19" s="22">
        <f>Лист2!B12</f>
        <v>27</v>
      </c>
      <c r="I19" s="22">
        <f t="shared" si="5"/>
        <v>28</v>
      </c>
      <c r="J19" s="22">
        <f t="shared" si="6"/>
        <v>29</v>
      </c>
      <c r="K19" s="22">
        <f>Лист2!C13</f>
        <v>30</v>
      </c>
      <c r="L19" s="22">
        <f>Лист3!H21</f>
        <v>17</v>
      </c>
      <c r="M19" s="35">
        <f t="shared" si="3"/>
        <v>0.92307692307692313</v>
      </c>
      <c r="N19" s="23" t="str">
        <f t="shared" si="4"/>
        <v>напряженные</v>
      </c>
    </row>
    <row r="20" spans="1:14" ht="25.05" customHeight="1" x14ac:dyDescent="0.3">
      <c r="A20" s="54" t="s">
        <v>59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3">
        <f>18/10</f>
        <v>1.8</v>
      </c>
    </row>
    <row r="21" spans="1:14" ht="25.05" customHeight="1" x14ac:dyDescent="0.3">
      <c r="A21" s="54" t="s">
        <v>60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2"/>
    </row>
    <row r="22" spans="1:14" ht="25.05" customHeight="1" x14ac:dyDescent="0.3">
      <c r="A22" s="54" t="s">
        <v>86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  <row r="23" spans="1:14" ht="25.05" customHeight="1" x14ac:dyDescent="0.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spans="1:14" ht="25.05" customHeight="1" x14ac:dyDescent="0.3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</sheetData>
  <mergeCells count="5">
    <mergeCell ref="A20:M20"/>
    <mergeCell ref="A21:M21"/>
    <mergeCell ref="A22:N22"/>
    <mergeCell ref="A23:N23"/>
    <mergeCell ref="A24:N24"/>
  </mergeCells>
  <conditionalFormatting sqref="M2:M19">
    <cfRule type="cellIs" dxfId="4" priority="1" operator="between">
      <formula>0.6</formula>
      <formula>0.8</formula>
    </cfRule>
    <cfRule type="cellIs" dxfId="3" priority="2" operator="greaterThan">
      <formula>0.8</formula>
    </cfRule>
  </conditionalFormatting>
  <conditionalFormatting sqref="M2:N19">
    <cfRule type="expression" dxfId="2" priority="4">
      <formula>$M2&gt;0.8</formula>
    </cfRule>
    <cfRule type="expression" dxfId="1" priority="5">
      <formula>AND($M2&gt;=0.6,$M2&lt;=0.8)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activeCell="D7" sqref="D7"/>
    </sheetView>
  </sheetViews>
  <sheetFormatPr defaultRowHeight="14.4" x14ac:dyDescent="0.3"/>
  <cols>
    <col min="1" max="1" width="12" customWidth="1"/>
    <col min="2" max="4" width="22" customWidth="1"/>
  </cols>
  <sheetData>
    <row r="1" spans="1:4" ht="25.95" customHeight="1" x14ac:dyDescent="0.3">
      <c r="A1" s="5" t="s">
        <v>84</v>
      </c>
      <c r="B1" s="4"/>
      <c r="C1" s="4"/>
      <c r="D1" s="4"/>
    </row>
    <row r="2" spans="1:4" ht="25.95" customHeight="1" x14ac:dyDescent="0.3">
      <c r="A2" s="4"/>
      <c r="B2" s="4"/>
      <c r="C2" s="4"/>
      <c r="D2" s="4"/>
    </row>
    <row r="3" spans="1:4" ht="43.95" customHeight="1" x14ac:dyDescent="0.3">
      <c r="A3" s="6" t="s">
        <v>61</v>
      </c>
      <c r="B3" s="6" t="s">
        <v>62</v>
      </c>
      <c r="C3" s="6" t="s">
        <v>63</v>
      </c>
      <c r="D3" s="6" t="s">
        <v>64</v>
      </c>
    </row>
    <row r="4" spans="1:4" ht="25.95" customHeight="1" x14ac:dyDescent="0.3">
      <c r="A4" s="7">
        <v>1</v>
      </c>
      <c r="B4" s="7">
        <v>0</v>
      </c>
      <c r="C4" s="7">
        <f>MIN(C5-Лист1!D2,C6-Лист1!D3,C7-Лист1!D4)</f>
        <v>0</v>
      </c>
      <c r="D4" s="7">
        <f t="shared" ref="D4:D13" si="0">C4-B4</f>
        <v>0</v>
      </c>
    </row>
    <row r="5" spans="1:4" ht="25.95" customHeight="1" x14ac:dyDescent="0.3">
      <c r="A5" s="7">
        <v>2</v>
      </c>
      <c r="B5" s="7">
        <f>MAX(B4+Лист1!D2)</f>
        <v>7</v>
      </c>
      <c r="C5" s="7">
        <f>MIN(C8-Лист1!D5,C10-Лист1!D6)</f>
        <v>9</v>
      </c>
      <c r="D5" s="7">
        <f t="shared" si="0"/>
        <v>2</v>
      </c>
    </row>
    <row r="6" spans="1:4" ht="25.95" customHeight="1" x14ac:dyDescent="0.3">
      <c r="A6" s="7">
        <v>3</v>
      </c>
      <c r="B6" s="7">
        <f>MAX(B4+Лист1!D3)</f>
        <v>8</v>
      </c>
      <c r="C6" s="7">
        <f>MIN(C8-Лист1!D7,C9-Лист1!D8,C10-Лист1!D9)</f>
        <v>8</v>
      </c>
      <c r="D6" s="7">
        <f t="shared" si="0"/>
        <v>0</v>
      </c>
    </row>
    <row r="7" spans="1:4" ht="25.95" customHeight="1" x14ac:dyDescent="0.3">
      <c r="A7" s="7">
        <v>4</v>
      </c>
      <c r="B7" s="7">
        <f>MAX(B4+Лист1!D4)</f>
        <v>5</v>
      </c>
      <c r="C7" s="7">
        <f>MIN(C8-Лист1!D10,C9-Лист1!D11,C10-Лист1!D12)</f>
        <v>10</v>
      </c>
      <c r="D7" s="7">
        <f t="shared" si="0"/>
        <v>5</v>
      </c>
    </row>
    <row r="8" spans="1:4" ht="25.95" customHeight="1" x14ac:dyDescent="0.3">
      <c r="A8" s="7">
        <v>5</v>
      </c>
      <c r="B8" s="7">
        <f>MAX(B5+Лист1!D5,B6+Лист1!D7,B7+Лист1!D10)</f>
        <v>17</v>
      </c>
      <c r="C8" s="7">
        <f>MIN(C11-Лист1!D13,C12-Лист1!D14)</f>
        <v>17</v>
      </c>
      <c r="D8" s="7">
        <f t="shared" si="0"/>
        <v>0</v>
      </c>
    </row>
    <row r="9" spans="1:4" ht="25.95" customHeight="1" x14ac:dyDescent="0.3">
      <c r="A9" s="7">
        <v>6</v>
      </c>
      <c r="B9" s="7">
        <f>MAX(B6+Лист1!D8,B7+Лист1!D11)</f>
        <v>12</v>
      </c>
      <c r="C9" s="7">
        <f>MIN(C11-Лист1!D15,C12-Лист1!D16)</f>
        <v>17</v>
      </c>
      <c r="D9" s="7">
        <f t="shared" si="0"/>
        <v>5</v>
      </c>
    </row>
    <row r="10" spans="1:4" ht="25.95" customHeight="1" x14ac:dyDescent="0.3">
      <c r="A10" s="7">
        <v>7</v>
      </c>
      <c r="B10" s="7">
        <f>MAX(B5+Лист1!D6,B6+Лист1!D9,B7+Лист1!D12)</f>
        <v>11</v>
      </c>
      <c r="C10" s="7">
        <f>MIN(C12-Лист1!D17)</f>
        <v>20</v>
      </c>
      <c r="D10" s="7">
        <f t="shared" si="0"/>
        <v>9</v>
      </c>
    </row>
    <row r="11" spans="1:4" ht="25.95" customHeight="1" x14ac:dyDescent="0.3">
      <c r="A11" s="7">
        <v>8</v>
      </c>
      <c r="B11" s="7">
        <f>MAX(B8+Лист1!D13,B9+Лист1!D15)</f>
        <v>27</v>
      </c>
      <c r="C11" s="7">
        <f>MIN(C13-Лист1!D18)</f>
        <v>27</v>
      </c>
      <c r="D11" s="7">
        <f t="shared" si="0"/>
        <v>0</v>
      </c>
    </row>
    <row r="12" spans="1:4" ht="25.95" customHeight="1" x14ac:dyDescent="0.3">
      <c r="A12" s="7">
        <v>9</v>
      </c>
      <c r="B12" s="7">
        <f>MAX(B8+Лист1!D14,B9+Лист1!D16,B10+Лист1!D17)</f>
        <v>27</v>
      </c>
      <c r="C12" s="7">
        <f>MIN(C13-Лист1!D19)</f>
        <v>28</v>
      </c>
      <c r="D12" s="7">
        <f t="shared" si="0"/>
        <v>1</v>
      </c>
    </row>
    <row r="13" spans="1:4" ht="25.95" customHeight="1" x14ac:dyDescent="0.3">
      <c r="A13" s="7">
        <v>10</v>
      </c>
      <c r="B13" s="7">
        <f>MAX(B11+Лист1!D18,B12+Лист1!D19)</f>
        <v>30</v>
      </c>
      <c r="C13" s="7">
        <f>B13</f>
        <v>30</v>
      </c>
      <c r="D13" s="7">
        <f t="shared" si="0"/>
        <v>0</v>
      </c>
    </row>
  </sheetData>
  <conditionalFormatting sqref="A4:D13">
    <cfRule type="expression" dxfId="0" priority="1">
      <formula>$D4=0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showGridLines="0" workbookViewId="0">
      <selection activeCell="D9" sqref="D9"/>
    </sheetView>
  </sheetViews>
  <sheetFormatPr defaultRowHeight="14.4" x14ac:dyDescent="0.3"/>
  <cols>
    <col min="1" max="1" width="9" customWidth="1"/>
    <col min="2" max="2" width="24" customWidth="1"/>
    <col min="3" max="3" width="16" customWidth="1"/>
    <col min="4" max="4" width="23" customWidth="1"/>
    <col min="5" max="5" width="3" customWidth="1"/>
    <col min="6" max="6" width="13" customWidth="1"/>
    <col min="7" max="7" width="25" customWidth="1"/>
    <col min="8" max="8" width="12" customWidth="1"/>
    <col min="9" max="9" width="25" customWidth="1"/>
  </cols>
  <sheetData>
    <row r="1" spans="1:9" ht="25.95" customHeight="1" x14ac:dyDescent="0.3">
      <c r="A1" s="5" t="s">
        <v>85</v>
      </c>
      <c r="B1" s="4"/>
      <c r="C1" s="4"/>
      <c r="D1" s="4"/>
      <c r="E1" s="4"/>
      <c r="F1" s="4"/>
      <c r="G1" s="4"/>
      <c r="H1" s="4"/>
      <c r="I1" s="4"/>
    </row>
    <row r="2" spans="1:9" ht="25.95" customHeight="1" x14ac:dyDescent="0.3">
      <c r="A2" s="4"/>
      <c r="B2" s="4"/>
      <c r="C2" s="4"/>
      <c r="D2" s="4"/>
      <c r="E2" s="4"/>
      <c r="F2" s="4"/>
      <c r="G2" s="4"/>
      <c r="H2" s="4"/>
      <c r="I2" s="4"/>
    </row>
    <row r="3" spans="1:9" ht="43.95" customHeight="1" x14ac:dyDescent="0.3">
      <c r="A3" s="6" t="s">
        <v>65</v>
      </c>
      <c r="B3" s="6" t="s">
        <v>66</v>
      </c>
      <c r="C3" s="6" t="s">
        <v>67</v>
      </c>
      <c r="D3" s="6" t="s">
        <v>68</v>
      </c>
      <c r="E3" s="4"/>
      <c r="F3" s="8" t="s">
        <v>1</v>
      </c>
      <c r="G3" s="8" t="s">
        <v>69</v>
      </c>
      <c r="H3" s="8" t="s">
        <v>11</v>
      </c>
      <c r="I3" s="8" t="s">
        <v>70</v>
      </c>
    </row>
    <row r="4" spans="1:9" ht="25.95" customHeight="1" x14ac:dyDescent="0.3">
      <c r="A4" s="7">
        <v>1</v>
      </c>
      <c r="B4" s="7" t="s">
        <v>71</v>
      </c>
      <c r="C4" s="7">
        <f>SUM(Лист1!D2,Лист1!D5,Лист1!D13,Лист1!D18)</f>
        <v>28</v>
      </c>
      <c r="D4" s="7">
        <f>IF(Лист1!F2=0,Лист1!D2,0)+IF(Лист1!F5=0,Лист1!D5,0)+IF(Лист1!F13=0,Лист1!D13,0)+IF(Лист1!F18=0,Лист1!D18,0)</f>
        <v>13</v>
      </c>
      <c r="E4" s="9"/>
      <c r="F4" s="7" t="s">
        <v>16</v>
      </c>
      <c r="G4" s="7">
        <f>MAX(C4,C5,C6)</f>
        <v>28</v>
      </c>
      <c r="H4" s="7">
        <f>IF(C4=G4,D4,IF(C5=G4,D5,D6))</f>
        <v>13</v>
      </c>
      <c r="I4" s="7" t="str">
        <f>IF(C4=G4,B4,IF(C5=G4,B5,B6))</f>
        <v>1–2–5–8–10</v>
      </c>
    </row>
    <row r="5" spans="1:9" ht="25.95" customHeight="1" x14ac:dyDescent="0.3">
      <c r="A5" s="7">
        <v>2</v>
      </c>
      <c r="B5" s="7" t="s">
        <v>72</v>
      </c>
      <c r="C5" s="7">
        <f>SUM(Лист1!D2,Лист1!D5,Лист1!D14,Лист1!D19)</f>
        <v>27</v>
      </c>
      <c r="D5" s="7">
        <f>IF(Лист1!F2=0,Лист1!D2,0)+IF(Лист1!F5=0,Лист1!D5,0)+IF(Лист1!F14=0,Лист1!D14,0)+IF(Лист1!F19=0,Лист1!D19,0)</f>
        <v>0</v>
      </c>
      <c r="E5" s="9"/>
      <c r="F5" s="7" t="s">
        <v>18</v>
      </c>
      <c r="G5" s="7">
        <f>MAX(C7,C8,C9,C10,C11)</f>
        <v>30</v>
      </c>
      <c r="H5" s="7">
        <f>IF(C7=G5,D7,IF(C8=G5,D8,IF(C9=G5,D9,IF(C10=G5,D10,D11))))</f>
        <v>30</v>
      </c>
      <c r="I5" s="7" t="str">
        <f>IF(C7=G5,B7,IF(C8=G5,B8,IF(C9=G5,B9,IF(C10=G5,B10,B11))))</f>
        <v>1–3–5–8–10</v>
      </c>
    </row>
    <row r="6" spans="1:9" ht="25.95" customHeight="1" x14ac:dyDescent="0.3">
      <c r="A6" s="7">
        <v>3</v>
      </c>
      <c r="B6" s="7" t="s">
        <v>73</v>
      </c>
      <c r="C6" s="7">
        <f>SUM(Лист1!D2,Лист1!D6,Лист1!D17,Лист1!D19)</f>
        <v>18</v>
      </c>
      <c r="D6" s="7">
        <f>IF(Лист1!F2=0,Лист1!D2,0)+IF(Лист1!F6=0,Лист1!D6,0)+IF(Лист1!F17=0,Лист1!D17,0)+IF(Лист1!F19=0,Лист1!D19,0)</f>
        <v>0</v>
      </c>
      <c r="E6" s="9"/>
      <c r="F6" s="7" t="s">
        <v>20</v>
      </c>
      <c r="G6" s="7">
        <f>MAX(C12,C13,C14,C15,C16)</f>
        <v>25</v>
      </c>
      <c r="H6" s="7">
        <f>IF(C12=G6,D12,IF(C13=G6,D13,IF(C14=G6,D14,IF(C15=G6,D15,D16))))</f>
        <v>3</v>
      </c>
      <c r="I6" s="7" t="str">
        <f>IF(C12=G6,B12,IF(C13=G6,B13,IF(C14=G6,B14,IF(C15=G6,B15,B16))))</f>
        <v>1–4–6–8–10</v>
      </c>
    </row>
    <row r="7" spans="1:9" ht="25.95" customHeight="1" x14ac:dyDescent="0.3">
      <c r="A7" s="7">
        <v>4</v>
      </c>
      <c r="B7" s="7" t="s">
        <v>74</v>
      </c>
      <c r="C7" s="7">
        <f>SUM(Лист1!D3,Лист1!D7,Лист1!D13,Лист1!D18)</f>
        <v>30</v>
      </c>
      <c r="D7" s="7">
        <f>IF(Лист1!F3=0,Лист1!D3,0)+IF(Лист1!F7=0,Лист1!D7,0)+IF(Лист1!F13=0,Лист1!D13,0)+IF(Лист1!F18=0,Лист1!D18,0)</f>
        <v>30</v>
      </c>
      <c r="E7" s="9"/>
      <c r="F7" s="7" t="s">
        <v>23</v>
      </c>
      <c r="G7" s="7">
        <f>MAX(C4,C5)</f>
        <v>28</v>
      </c>
      <c r="H7" s="7">
        <f>IF(C4=G7,D4,D5)</f>
        <v>13</v>
      </c>
      <c r="I7" s="7" t="str">
        <f>IF(C4=G7,B4,B5)</f>
        <v>1–2–5–8–10</v>
      </c>
    </row>
    <row r="8" spans="1:9" ht="25.95" customHeight="1" x14ac:dyDescent="0.3">
      <c r="A8" s="7">
        <v>5</v>
      </c>
      <c r="B8" s="7" t="s">
        <v>75</v>
      </c>
      <c r="C8" s="7">
        <f>SUM(Лист1!D3,Лист1!D7,Лист1!D14,Лист1!D19)</f>
        <v>29</v>
      </c>
      <c r="D8" s="7">
        <f>IF(Лист1!F3=0,Лист1!D3,0)+IF(Лист1!F7=0,Лист1!D7,0)+IF(Лист1!F14=0,Лист1!D14,0)+IF(Лист1!F19=0,Лист1!D19,0)</f>
        <v>17</v>
      </c>
      <c r="E8" s="9"/>
      <c r="F8" s="7" t="s">
        <v>25</v>
      </c>
      <c r="G8" s="7">
        <f>MAX(C6)</f>
        <v>18</v>
      </c>
      <c r="H8" s="7">
        <f>D6</f>
        <v>0</v>
      </c>
      <c r="I8" s="7" t="str">
        <f>B6</f>
        <v>1–2–7–9–10</v>
      </c>
    </row>
    <row r="9" spans="1:9" ht="25.95" customHeight="1" x14ac:dyDescent="0.3">
      <c r="A9" s="7">
        <v>6</v>
      </c>
      <c r="B9" s="7" t="s">
        <v>76</v>
      </c>
      <c r="C9" s="7">
        <f>SUM(Лист1!D3,Лист1!D8,Лист1!D15,Лист1!D18)</f>
        <v>24</v>
      </c>
      <c r="D9" s="7">
        <f>IF(Лист1!F3=0,Лист1!D3,0)+IF(Лист1!F8=0,Лист1!D8,0)+IF(Лист1!F15=0,Лист1!D15,0)+IF(Лист1!F18=0,Лист1!D18,0)</f>
        <v>11</v>
      </c>
      <c r="E9" s="9"/>
      <c r="F9" s="7" t="s">
        <v>28</v>
      </c>
      <c r="G9" s="7">
        <f>MAX(C7,C8)</f>
        <v>30</v>
      </c>
      <c r="H9" s="7">
        <f>IF(C7=G9,D7,D8)</f>
        <v>30</v>
      </c>
      <c r="I9" s="7" t="str">
        <f>IF(C7=G9,B7,B8)</f>
        <v>1–3–5–8–10</v>
      </c>
    </row>
    <row r="10" spans="1:9" ht="25.95" customHeight="1" x14ac:dyDescent="0.3">
      <c r="A10" s="7">
        <v>7</v>
      </c>
      <c r="B10" s="7" t="s">
        <v>77</v>
      </c>
      <c r="C10" s="7">
        <f>SUM(Лист1!D3,Лист1!D8,Лист1!D16,Лист1!D19)</f>
        <v>21</v>
      </c>
      <c r="D10" s="7">
        <f>IF(Лист1!F3=0,Лист1!D3,0)+IF(Лист1!F8=0,Лист1!D8,0)+IF(Лист1!F16=0,Лист1!D16,0)+IF(Лист1!F19=0,Лист1!D19,0)</f>
        <v>8</v>
      </c>
      <c r="E10" s="9"/>
      <c r="F10" s="7" t="s">
        <v>30</v>
      </c>
      <c r="G10" s="7">
        <f>MAX(C9,C10)</f>
        <v>24</v>
      </c>
      <c r="H10" s="7">
        <f>IF(C9=G10,D9,D10)</f>
        <v>11</v>
      </c>
      <c r="I10" s="7" t="str">
        <f>IF(C9=G10,B9,B10)</f>
        <v>1–3–6–8–10</v>
      </c>
    </row>
    <row r="11" spans="1:9" ht="25.95" customHeight="1" x14ac:dyDescent="0.3">
      <c r="A11" s="7">
        <v>8</v>
      </c>
      <c r="B11" s="7" t="s">
        <v>78</v>
      </c>
      <c r="C11" s="7">
        <f>SUM(Лист1!D3,Лист1!D9,Лист1!D17,Лист1!D19)</f>
        <v>21</v>
      </c>
      <c r="D11" s="7">
        <f>IF(Лист1!F3=0,Лист1!D3,0)+IF(Лист1!F9=0,Лист1!D9,0)+IF(Лист1!F17=0,Лист1!D17,0)+IF(Лист1!F19=0,Лист1!D19,0)</f>
        <v>8</v>
      </c>
      <c r="E11" s="9"/>
      <c r="F11" s="7" t="s">
        <v>32</v>
      </c>
      <c r="G11" s="7">
        <f>MAX(C11)</f>
        <v>21</v>
      </c>
      <c r="H11" s="7">
        <f>D11</f>
        <v>8</v>
      </c>
      <c r="I11" s="7" t="str">
        <f>B11</f>
        <v>1–3–7–9–10</v>
      </c>
    </row>
    <row r="12" spans="1:9" ht="25.95" customHeight="1" x14ac:dyDescent="0.3">
      <c r="A12" s="7">
        <v>9</v>
      </c>
      <c r="B12" s="7" t="s">
        <v>79</v>
      </c>
      <c r="C12" s="7">
        <f>SUM(Лист1!D4,Лист1!D10,Лист1!D13,Лист1!D18)</f>
        <v>20</v>
      </c>
      <c r="D12" s="7">
        <f>IF(Лист1!F4=0,Лист1!D4,0)+IF(Лист1!F10=0,Лист1!D10,0)+IF(Лист1!F13=0,Лист1!D13,0)+IF(Лист1!F18=0,Лист1!D18,0)</f>
        <v>13</v>
      </c>
      <c r="E12" s="9"/>
      <c r="F12" s="7" t="s">
        <v>35</v>
      </c>
      <c r="G12" s="7">
        <f>MAX(C12,C13)</f>
        <v>20</v>
      </c>
      <c r="H12" s="7">
        <f>IF(C12=G12,D12,D13)</f>
        <v>13</v>
      </c>
      <c r="I12" s="7" t="str">
        <f>IF(C12=G12,B12,B13)</f>
        <v>1–4–5–8–10</v>
      </c>
    </row>
    <row r="13" spans="1:9" ht="25.95" customHeight="1" x14ac:dyDescent="0.3">
      <c r="A13" s="7">
        <v>10</v>
      </c>
      <c r="B13" s="7" t="s">
        <v>80</v>
      </c>
      <c r="C13" s="7">
        <f>SUM(Лист1!D4,Лист1!D10,Лист1!D14,Лист1!D19)</f>
        <v>19</v>
      </c>
      <c r="D13" s="7">
        <f>IF(Лист1!F4=0,Лист1!D4,0)+IF(Лист1!F10=0,Лист1!D10,0)+IF(Лист1!F14=0,Лист1!D14,0)+IF(Лист1!F19=0,Лист1!D19,0)</f>
        <v>0</v>
      </c>
      <c r="E13" s="9"/>
      <c r="F13" s="7" t="s">
        <v>37</v>
      </c>
      <c r="G13" s="7">
        <f>MAX(C14,C15)</f>
        <v>25</v>
      </c>
      <c r="H13" s="7">
        <f>IF(C14=G13,D14,D15)</f>
        <v>3</v>
      </c>
      <c r="I13" s="7" t="str">
        <f>IF(C14=G13,B14,B15)</f>
        <v>1–4–6–8–10</v>
      </c>
    </row>
    <row r="14" spans="1:9" ht="25.95" customHeight="1" x14ac:dyDescent="0.3">
      <c r="A14" s="7">
        <v>11</v>
      </c>
      <c r="B14" s="7" t="s">
        <v>81</v>
      </c>
      <c r="C14" s="7">
        <f>SUM(Лист1!D4,Лист1!D11,Лист1!D15,Лист1!D18)</f>
        <v>25</v>
      </c>
      <c r="D14" s="7">
        <f>IF(Лист1!F4=0,Лист1!D4,0)+IF(Лист1!F11=0,Лист1!D11,0)+IF(Лист1!F15=0,Лист1!D15,0)+IF(Лист1!F18=0,Лист1!D18,0)</f>
        <v>3</v>
      </c>
      <c r="E14" s="9"/>
      <c r="F14" s="7" t="s">
        <v>39</v>
      </c>
      <c r="G14" s="7">
        <f>MAX(C16)</f>
        <v>16</v>
      </c>
      <c r="H14" s="7">
        <f>D16</f>
        <v>0</v>
      </c>
      <c r="I14" s="7" t="str">
        <f>B16</f>
        <v>1–4–7–9–10</v>
      </c>
    </row>
    <row r="15" spans="1:9" ht="25.95" customHeight="1" x14ac:dyDescent="0.3">
      <c r="A15" s="7">
        <v>12</v>
      </c>
      <c r="B15" s="7" t="s">
        <v>82</v>
      </c>
      <c r="C15" s="7">
        <f>SUM(Лист1!D4,Лист1!D11,Лист1!D16,Лист1!D19)</f>
        <v>22</v>
      </c>
      <c r="D15" s="7">
        <f>IF(Лист1!F4=0,Лист1!D4,0)+IF(Лист1!F11=0,Лист1!D11,0)+IF(Лист1!F16=0,Лист1!D16,0)+IF(Лист1!F19=0,Лист1!D19,0)</f>
        <v>0</v>
      </c>
      <c r="E15" s="9"/>
      <c r="F15" s="7" t="s">
        <v>42</v>
      </c>
      <c r="G15" s="7">
        <f>MAX(C4,C7,C12)</f>
        <v>30</v>
      </c>
      <c r="H15" s="7">
        <f>IF(C4=G15,D4,IF(C7=G15,D7,D12))</f>
        <v>30</v>
      </c>
      <c r="I15" s="7" t="str">
        <f>IF(C4=G15,B4,IF(C7=G15,B7,B12))</f>
        <v>1–3–5–8–10</v>
      </c>
    </row>
    <row r="16" spans="1:9" ht="25.95" customHeight="1" x14ac:dyDescent="0.3">
      <c r="A16" s="7">
        <v>13</v>
      </c>
      <c r="B16" s="7" t="s">
        <v>83</v>
      </c>
      <c r="C16" s="7">
        <f>SUM(Лист1!D4,Лист1!D12,Лист1!D17,Лист1!D19)</f>
        <v>16</v>
      </c>
      <c r="D16" s="7">
        <f>IF(Лист1!F4=0,Лист1!D4,0)+IF(Лист1!F12=0,Лист1!D12,0)+IF(Лист1!F17=0,Лист1!D17,0)+IF(Лист1!F19=0,Лист1!D19,0)</f>
        <v>0</v>
      </c>
      <c r="E16" s="9"/>
      <c r="F16" s="7" t="s">
        <v>44</v>
      </c>
      <c r="G16" s="7">
        <f>MAX(C5,C8,C13)</f>
        <v>29</v>
      </c>
      <c r="H16" s="7">
        <f>IF(C5=G16,D5,IF(C8=G16,D8,D13))</f>
        <v>17</v>
      </c>
      <c r="I16" s="7" t="str">
        <f>IF(C5=G16,B5,IF(C8=G16,B8,B13))</f>
        <v>1–3–5–9–10</v>
      </c>
    </row>
    <row r="17" spans="1:9" ht="25.95" customHeight="1" x14ac:dyDescent="0.3">
      <c r="A17" s="9"/>
      <c r="B17" s="9"/>
      <c r="C17" s="9"/>
      <c r="D17" s="9"/>
      <c r="E17" s="9"/>
      <c r="F17" s="7" t="s">
        <v>47</v>
      </c>
      <c r="G17" s="7">
        <f>MAX(C9,C14)</f>
        <v>25</v>
      </c>
      <c r="H17" s="7">
        <f>IF(C9=G17,D9,D14)</f>
        <v>3</v>
      </c>
      <c r="I17" s="7" t="str">
        <f>IF(C9=G17,B9,B14)</f>
        <v>1–4–6–8–10</v>
      </c>
    </row>
    <row r="18" spans="1:9" ht="25.95" customHeight="1" x14ac:dyDescent="0.3">
      <c r="A18" s="9"/>
      <c r="B18" s="9"/>
      <c r="C18" s="9"/>
      <c r="D18" s="9"/>
      <c r="E18" s="9"/>
      <c r="F18" s="7" t="s">
        <v>49</v>
      </c>
      <c r="G18" s="7">
        <f>MAX(C10,C15)</f>
        <v>22</v>
      </c>
      <c r="H18" s="7">
        <f>IF(C10=G18,D10,D15)</f>
        <v>0</v>
      </c>
      <c r="I18" s="7" t="str">
        <f>IF(C10=G18,B10,B15)</f>
        <v>1–4–6–9–10</v>
      </c>
    </row>
    <row r="19" spans="1:9" ht="25.95" customHeight="1" x14ac:dyDescent="0.3">
      <c r="A19" s="9"/>
      <c r="B19" s="9"/>
      <c r="C19" s="9"/>
      <c r="D19" s="9"/>
      <c r="E19" s="9"/>
      <c r="F19" s="7" t="s">
        <v>52</v>
      </c>
      <c r="G19" s="7">
        <f>MAX(C6,C11,C16)</f>
        <v>21</v>
      </c>
      <c r="H19" s="7">
        <f>IF(C6=G19,D6,IF(C11=G19,D11,D16))</f>
        <v>8</v>
      </c>
      <c r="I19" s="7" t="str">
        <f>IF(C6=G19,B6,IF(C11=G19,B11,B16))</f>
        <v>1–3–7–9–10</v>
      </c>
    </row>
    <row r="20" spans="1:9" ht="25.95" customHeight="1" x14ac:dyDescent="0.3">
      <c r="A20" s="9"/>
      <c r="B20" s="9"/>
      <c r="C20" s="9"/>
      <c r="D20" s="9"/>
      <c r="E20" s="9"/>
      <c r="F20" s="7" t="s">
        <v>55</v>
      </c>
      <c r="G20" s="7">
        <f>MAX(C4,C7,C9,C12,C14)</f>
        <v>30</v>
      </c>
      <c r="H20" s="7">
        <f>IF(C4=G20,D4,IF(C7=G20,D7,IF(C9=G20,D9,IF(C12=G20,D12,D14))))</f>
        <v>30</v>
      </c>
      <c r="I20" s="7" t="str">
        <f>IF(C4=G20,B4,IF(C7=G20,B7,IF(C9=G20,B9,IF(C12=G20,B12,B14))))</f>
        <v>1–3–5–8–10</v>
      </c>
    </row>
    <row r="21" spans="1:9" ht="25.95" customHeight="1" x14ac:dyDescent="0.3">
      <c r="A21" s="9"/>
      <c r="B21" s="9"/>
      <c r="C21" s="9"/>
      <c r="D21" s="9"/>
      <c r="E21" s="9"/>
      <c r="F21" s="7" t="s">
        <v>58</v>
      </c>
      <c r="G21" s="7">
        <f>MAX(C5,C6,C8,C10,C11,C13,C15,C16)</f>
        <v>29</v>
      </c>
      <c r="H21" s="7">
        <f>IF(C5=G21,D5,IF(C6=G21,D6,IF(C8=G21,D8,IF(C10=G21,D10,IF(C11=G21,D11,IF(C13=G21,D13,IF(C15=G21,D15,D16)))))))</f>
        <v>17</v>
      </c>
      <c r="I21" s="7" t="str">
        <f>IF(C5=G21,B5,IF(C6=G21,B6,IF(C8=G21,B8,IF(C10=G21,B10,IF(C11=G21,B11,IF(C13=G21,B13,IF(C15=G21,B15,B16)))))))</f>
        <v>1–3–5–9–10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 Admin</cp:lastModifiedBy>
  <dcterms:created xsi:type="dcterms:W3CDTF">2026-09-23T08:50:44Z</dcterms:created>
  <dcterms:modified xsi:type="dcterms:W3CDTF">2026-09-30T08:04:45Z</dcterms:modified>
</cp:coreProperties>
</file>