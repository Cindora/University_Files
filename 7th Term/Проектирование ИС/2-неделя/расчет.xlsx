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University_Files\7th Term\Проектирование ИС\2-неделя\"/>
    </mc:Choice>
  </mc:AlternateContent>
  <xr:revisionPtr revIDLastSave="0" documentId="13_ncr:1_{3B3EB430-7349-41DB-875F-7E1E2773A7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1" l="1"/>
  <c r="L10" i="1"/>
  <c r="L9" i="1"/>
  <c r="L5" i="1"/>
  <c r="L7" i="1"/>
  <c r="L4" i="1"/>
  <c r="L2" i="1"/>
  <c r="K12" i="1"/>
  <c r="I12" i="1" s="1"/>
  <c r="K11" i="1"/>
  <c r="I11" i="1" s="1"/>
  <c r="K10" i="1"/>
  <c r="I10" i="1" s="1"/>
  <c r="K9" i="1"/>
  <c r="I9" i="1" s="1"/>
  <c r="K5" i="1"/>
  <c r="I5" i="1" s="1"/>
  <c r="K7" i="1"/>
  <c r="I7" i="1" s="1"/>
  <c r="K6" i="1"/>
  <c r="I6" i="1" s="1"/>
  <c r="K3" i="1"/>
  <c r="I3" i="1" s="1"/>
  <c r="K8" i="1"/>
  <c r="I8" i="1" s="1"/>
  <c r="K4" i="1"/>
  <c r="I4" i="1" s="1"/>
  <c r="K2" i="1"/>
  <c r="I2" i="1" s="1"/>
  <c r="J4" i="1"/>
  <c r="J8" i="1"/>
  <c r="J3" i="1"/>
  <c r="J6" i="1"/>
  <c r="J7" i="1"/>
  <c r="J5" i="1"/>
  <c r="J9" i="1"/>
  <c r="J10" i="1"/>
  <c r="J11" i="1"/>
  <c r="J12" i="1"/>
  <c r="J2" i="1"/>
  <c r="G12" i="1"/>
  <c r="G11" i="1"/>
  <c r="G10" i="1"/>
  <c r="G9" i="1"/>
  <c r="G5" i="1"/>
  <c r="G7" i="1"/>
  <c r="G6" i="1"/>
  <c r="G3" i="1"/>
  <c r="G8" i="1"/>
  <c r="G4" i="1"/>
  <c r="G2" i="1"/>
  <c r="F12" i="1"/>
  <c r="M12" i="1" s="1"/>
  <c r="N12" i="1" s="1"/>
  <c r="F11" i="1"/>
  <c r="M11" i="1" s="1"/>
  <c r="N11" i="1" s="1"/>
  <c r="F10" i="1"/>
  <c r="M10" i="1" s="1"/>
  <c r="N10" i="1" s="1"/>
  <c r="F9" i="1"/>
  <c r="M9" i="1" s="1"/>
  <c r="N9" i="1" s="1"/>
  <c r="F5" i="1"/>
  <c r="F7" i="1"/>
  <c r="F6" i="1"/>
  <c r="M6" i="1" s="1"/>
  <c r="N6" i="1" s="1"/>
  <c r="F8" i="1"/>
  <c r="M8" i="1" s="1"/>
  <c r="N8" i="1" s="1"/>
  <c r="F3" i="1"/>
  <c r="M3" i="1" s="1"/>
  <c r="N3" i="1" s="1"/>
  <c r="F4" i="1"/>
  <c r="F2" i="1"/>
  <c r="M2" i="1" s="1"/>
  <c r="N2" i="1" s="1"/>
  <c r="M4" i="1" l="1"/>
  <c r="N4" i="1" s="1"/>
  <c r="M7" i="1"/>
  <c r="N7" i="1" s="1"/>
  <c r="M5" i="1"/>
  <c r="N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днс</author>
  </authors>
  <commentList>
    <comment ref="F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>Rn(i,j)=Tп(j)-Tp(i)-t(i,j)</t>
        </r>
      </text>
    </comment>
    <comment ref="G1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04"/>
          </rPr>
          <t>Rc(i,j)=Tp(j)-Tp(i)-t(i,j)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" authorId="0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Tрн(i,j)=Tp(i)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  <charset val="204"/>
          </rPr>
          <t>Tпн(i,j)=Tпо(i,j)-Т(i,j)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J1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Tpo(i,j)=Tpн(i,j)+T(i,j)</t>
        </r>
      </text>
    </comment>
    <comment ref="K1" authorId="0" shapeId="0" xr:uid="{00000000-0006-0000-0000-000006000000}">
      <text>
        <r>
          <rPr>
            <b/>
            <sz val="8"/>
            <color indexed="81"/>
            <rFont val="Tahoma"/>
            <family val="2"/>
            <charset val="204"/>
          </rPr>
          <t>Tпо(i,j)=Тп(j)</t>
        </r>
      </text>
    </comment>
    <comment ref="L1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t'кp - общая продолжительность отрезков пути, проходящего через работу (i, j), совпадающих с критическим путем</t>
        </r>
      </text>
    </comment>
    <comment ref="N1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 xml:space="preserve">
=ЕСЛИ(M2&gt;0,8;"напряженные";ЕСЛИ(И(M2&gt;=0,6;M2&lt;=0,8);"подкритические";"резервные"))</t>
        </r>
      </text>
    </comment>
  </commentList>
</comments>
</file>

<file path=xl/sharedStrings.xml><?xml version="1.0" encoding="utf-8"?>
<sst xmlns="http://schemas.openxmlformats.org/spreadsheetml/2006/main" count="52" uniqueCount="50">
  <si>
    <t>Название работы</t>
  </si>
  <si>
    <t>Продолжи-тельность работы</t>
  </si>
  <si>
    <t>Код работы</t>
  </si>
  <si>
    <t>1.</t>
  </si>
  <si>
    <t>Подготовка оборудования для обработки тестов.</t>
  </si>
  <si>
    <t>-</t>
  </si>
  <si>
    <t>2.</t>
  </si>
  <si>
    <t>Подбор экзаменационной комиссии</t>
  </si>
  <si>
    <t>3.</t>
  </si>
  <si>
    <t>Проведение семинаров для членов экзаменационной комиссии</t>
  </si>
  <si>
    <t>4.</t>
  </si>
  <si>
    <t>Подготовка вариантов экзаменационных тестов</t>
  </si>
  <si>
    <t>5.</t>
  </si>
  <si>
    <t>Подготовка документации для проверки работ</t>
  </si>
  <si>
    <t>6.</t>
  </si>
  <si>
    <t>Проведение экзамена.</t>
  </si>
  <si>
    <t>7.</t>
  </si>
  <si>
    <t>Монтаж оборудования</t>
  </si>
  <si>
    <t>8.</t>
  </si>
  <si>
    <t>Обучение технического персонала.</t>
  </si>
  <si>
    <t>9.</t>
  </si>
  <si>
    <t>Обработка входных документов</t>
  </si>
  <si>
    <t>10.</t>
  </si>
  <si>
    <t>Проверка экзаменационных работ</t>
  </si>
  <si>
    <t>11.</t>
  </si>
  <si>
    <t>Обработка результатов.</t>
  </si>
  <si>
    <t>1-2</t>
  </si>
  <si>
    <t>1-4</t>
  </si>
  <si>
    <t>4-7</t>
  </si>
  <si>
    <t>1-3</t>
  </si>
  <si>
    <t>3-4</t>
  </si>
  <si>
    <t>3-6</t>
  </si>
  <si>
    <t>2-5</t>
  </si>
  <si>
    <t>5-6</t>
  </si>
  <si>
    <t>6-7</t>
  </si>
  <si>
    <t>7-8</t>
  </si>
  <si>
    <t>8-9</t>
  </si>
  <si>
    <t>Rn полный резерв времени</t>
  </si>
  <si>
    <t>Rc свободный резерв времени</t>
  </si>
  <si>
    <t xml:space="preserve"> </t>
  </si>
  <si>
    <t>Раннее время начала работы</t>
  </si>
  <si>
    <t>Позднее время начала работы</t>
  </si>
  <si>
    <t>Раннее время конца работы</t>
  </si>
  <si>
    <t>Позднее время конца работы</t>
  </si>
  <si>
    <t>Коэффициент напряженности</t>
  </si>
  <si>
    <t>Tкр'</t>
  </si>
  <si>
    <t>№</t>
  </si>
  <si>
    <t>Опирается на работы</t>
  </si>
  <si>
    <t>Зоны напряженности</t>
  </si>
  <si>
    <t>Коэффициент сложности сетевого графика(Сетевые графики, имеющие коэффициент сложности от 1,0 до 1,5, являются простыми, от 1,51 до 2,0 – средней сложности, более 2,1 – сложными)=К_работ/К_событий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</si>
</sst>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8"/>
      <color indexed="81"/>
      <name val="Tahoma"/>
      <family val="2"/>
      <charset val="204"/>
    </font>
    <font>
      <sz val="9"/>
      <color theme="3" tint="-0.249977111117893"/>
      <name val="Times New Roman"/>
      <family val="1"/>
      <charset val="204"/>
    </font>
    <font>
      <sz val="9"/>
      <color theme="3" tint="-0.499984740745262"/>
      <name val="Times New Roman"/>
      <family val="1"/>
      <charset val="204"/>
    </font>
    <font>
      <sz val="9"/>
      <color rgb="FFC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7" fillId="2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/>
    <xf numFmtId="1" fontId="4" fillId="5" borderId="1" xfId="0" applyNumberFormat="1" applyFont="1" applyFill="1" applyBorder="1"/>
    <xf numFmtId="164" fontId="8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396240</xdr:colOff>
          <xdr:row>0</xdr:row>
          <xdr:rowOff>358140</xdr:rowOff>
        </xdr:from>
        <xdr:to>
          <xdr:col>12</xdr:col>
          <xdr:colOff>716280</xdr:colOff>
          <xdr:row>0</xdr:row>
          <xdr:rowOff>1043940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85" zoomScaleNormal="85" workbookViewId="0">
      <selection activeCell="H7" sqref="H7"/>
    </sheetView>
  </sheetViews>
  <sheetFormatPr defaultRowHeight="14.4" x14ac:dyDescent="0.3"/>
  <cols>
    <col min="1" max="1" width="5.21875" customWidth="1"/>
    <col min="2" max="2" width="17.6640625" customWidth="1"/>
    <col min="3" max="4" width="11.5546875" customWidth="1"/>
    <col min="5" max="5" width="11.5546875" style="1" customWidth="1"/>
    <col min="6" max="13" width="11.5546875" customWidth="1"/>
    <col min="14" max="14" width="12.33203125" customWidth="1"/>
  </cols>
  <sheetData>
    <row r="1" spans="1:14" ht="84" customHeight="1" thickTop="1" thickBot="1" x14ac:dyDescent="0.35">
      <c r="A1" s="19" t="s">
        <v>46</v>
      </c>
      <c r="B1" s="19" t="s">
        <v>0</v>
      </c>
      <c r="C1" s="19" t="s">
        <v>47</v>
      </c>
      <c r="D1" s="19" t="s">
        <v>1</v>
      </c>
      <c r="E1" s="20" t="s">
        <v>2</v>
      </c>
      <c r="F1" s="2" t="s">
        <v>37</v>
      </c>
      <c r="G1" s="2" t="s">
        <v>38</v>
      </c>
      <c r="H1" s="3" t="s">
        <v>40</v>
      </c>
      <c r="I1" s="3" t="s">
        <v>41</v>
      </c>
      <c r="J1" s="3" t="s">
        <v>42</v>
      </c>
      <c r="K1" s="3" t="s">
        <v>43</v>
      </c>
      <c r="L1" s="4" t="s">
        <v>45</v>
      </c>
      <c r="M1" s="4" t="s">
        <v>44</v>
      </c>
      <c r="N1" s="5" t="s">
        <v>48</v>
      </c>
    </row>
    <row r="2" spans="1:14" ht="37.200000000000003" thickTop="1" thickBot="1" x14ac:dyDescent="0.35">
      <c r="A2" s="6" t="s">
        <v>3</v>
      </c>
      <c r="B2" s="7" t="s">
        <v>4</v>
      </c>
      <c r="C2" s="8" t="s">
        <v>5</v>
      </c>
      <c r="D2" s="8">
        <v>5</v>
      </c>
      <c r="E2" s="9" t="s">
        <v>26</v>
      </c>
      <c r="F2" s="10">
        <f>9-0-D2</f>
        <v>4</v>
      </c>
      <c r="G2" s="10">
        <f>5-0-D2</f>
        <v>0</v>
      </c>
      <c r="H2" s="10">
        <v>0</v>
      </c>
      <c r="I2" s="10">
        <f>K2-D2</f>
        <v>4</v>
      </c>
      <c r="J2" s="10">
        <f>H2+D2</f>
        <v>5</v>
      </c>
      <c r="K2" s="10">
        <f>9</f>
        <v>9</v>
      </c>
      <c r="L2" s="10">
        <f>3+2</f>
        <v>5</v>
      </c>
      <c r="M2" s="11">
        <f>1-F2/(21-L2)</f>
        <v>0.75</v>
      </c>
      <c r="N2" s="10" t="str">
        <f t="shared" ref="N2:N12" si="0">IF(M2&gt;0.8,"напряженные",IF(AND(M2&gt;=0.6,M2&lt;=0.8),"подкритические","резервные"))</f>
        <v>подкритические</v>
      </c>
    </row>
    <row r="3" spans="1:14" ht="37.200000000000003" thickTop="1" thickBot="1" x14ac:dyDescent="0.35">
      <c r="A3" s="12" t="s">
        <v>10</v>
      </c>
      <c r="B3" s="13" t="s">
        <v>11</v>
      </c>
      <c r="C3" s="14" t="s">
        <v>5</v>
      </c>
      <c r="D3" s="14">
        <v>10</v>
      </c>
      <c r="E3" s="15" t="s">
        <v>29</v>
      </c>
      <c r="F3" s="16">
        <f>10-0-10</f>
        <v>0</v>
      </c>
      <c r="G3" s="16">
        <f>10-0-D3</f>
        <v>0</v>
      </c>
      <c r="H3" s="16">
        <v>0</v>
      </c>
      <c r="I3" s="16">
        <f>K3-D3</f>
        <v>0</v>
      </c>
      <c r="J3" s="16">
        <f>H3+D3</f>
        <v>10</v>
      </c>
      <c r="K3" s="16">
        <f>10</f>
        <v>10</v>
      </c>
      <c r="L3" s="16"/>
      <c r="M3" s="11">
        <f>1-F3/(21-L3)</f>
        <v>1</v>
      </c>
      <c r="N3" s="10" t="str">
        <f>IF(M3&gt;0.8,"напряженные",IF(AND(M3&gt;=0.6,M3&lt;=0.8),"подкритические","резервные"))</f>
        <v>напряженные</v>
      </c>
    </row>
    <row r="4" spans="1:14" ht="37.200000000000003" thickTop="1" thickBot="1" x14ac:dyDescent="0.35">
      <c r="A4" s="6" t="s">
        <v>6</v>
      </c>
      <c r="B4" s="7" t="s">
        <v>7</v>
      </c>
      <c r="C4" s="8" t="s">
        <v>5</v>
      </c>
      <c r="D4" s="8">
        <v>8</v>
      </c>
      <c r="E4" s="9" t="s">
        <v>27</v>
      </c>
      <c r="F4" s="10">
        <f>13-0-D4</f>
        <v>5</v>
      </c>
      <c r="G4" s="10">
        <f>13-0-D4</f>
        <v>5</v>
      </c>
      <c r="H4" s="10">
        <v>0</v>
      </c>
      <c r="I4" s="10">
        <f t="shared" ref="I4:I12" si="1">K4-D4</f>
        <v>5</v>
      </c>
      <c r="J4" s="10">
        <f t="shared" ref="J4:J12" si="2">H4+D4</f>
        <v>8</v>
      </c>
      <c r="K4" s="10">
        <f>13</f>
        <v>13</v>
      </c>
      <c r="L4" s="10">
        <f>3+3+2</f>
        <v>8</v>
      </c>
      <c r="M4" s="11">
        <f>1-F4/(21-L4)</f>
        <v>0.61538461538461542</v>
      </c>
      <c r="N4" s="10" t="str">
        <f t="shared" si="0"/>
        <v>подкритические</v>
      </c>
    </row>
    <row r="5" spans="1:14" ht="15.6" thickTop="1" thickBot="1" x14ac:dyDescent="0.35">
      <c r="A5" s="6" t="s">
        <v>16</v>
      </c>
      <c r="B5" s="7" t="s">
        <v>17</v>
      </c>
      <c r="C5" s="8">
        <v>1</v>
      </c>
      <c r="D5" s="8">
        <v>3</v>
      </c>
      <c r="E5" s="9" t="s">
        <v>32</v>
      </c>
      <c r="F5" s="10">
        <f>12-5-D5</f>
        <v>4</v>
      </c>
      <c r="G5" s="10">
        <f>8-5-D5</f>
        <v>0</v>
      </c>
      <c r="H5" s="10">
        <v>5</v>
      </c>
      <c r="I5" s="10">
        <f>K5-D5</f>
        <v>9</v>
      </c>
      <c r="J5" s="10">
        <f>H5+D5</f>
        <v>8</v>
      </c>
      <c r="K5" s="10">
        <f>12</f>
        <v>12</v>
      </c>
      <c r="L5" s="10">
        <f>3+2</f>
        <v>5</v>
      </c>
      <c r="M5" s="11">
        <f>1-F5/(21-L5)</f>
        <v>0.75</v>
      </c>
      <c r="N5" s="10" t="str">
        <f>IF(M5&gt;0.8,"напряженные",IF(AND(M5&gt;=0.6,M5&lt;=0.8),"подкритические","резервные"))</f>
        <v>подкритические</v>
      </c>
    </row>
    <row r="6" spans="1:14" ht="37.200000000000003" thickTop="1" thickBot="1" x14ac:dyDescent="0.35">
      <c r="A6" s="12" t="s">
        <v>12</v>
      </c>
      <c r="B6" s="13" t="s">
        <v>13</v>
      </c>
      <c r="C6" s="14">
        <v>4</v>
      </c>
      <c r="D6" s="14">
        <v>3</v>
      </c>
      <c r="E6" s="15" t="s">
        <v>30</v>
      </c>
      <c r="F6" s="17">
        <f>13-10-D6</f>
        <v>0</v>
      </c>
      <c r="G6" s="16">
        <f>13-10-D6</f>
        <v>0</v>
      </c>
      <c r="H6" s="16">
        <v>10</v>
      </c>
      <c r="I6" s="16">
        <f t="shared" si="1"/>
        <v>10</v>
      </c>
      <c r="J6" s="16">
        <f t="shared" si="2"/>
        <v>13</v>
      </c>
      <c r="K6" s="16">
        <f>13</f>
        <v>13</v>
      </c>
      <c r="L6" s="16"/>
      <c r="M6" s="11">
        <f t="shared" ref="M6:M10" si="3">1-F6/(21-L6)</f>
        <v>1</v>
      </c>
      <c r="N6" s="10" t="str">
        <f t="shared" si="0"/>
        <v>напряженные</v>
      </c>
    </row>
    <row r="7" spans="1:14" ht="15.6" thickTop="1" thickBot="1" x14ac:dyDescent="0.35">
      <c r="A7" s="6" t="s">
        <v>14</v>
      </c>
      <c r="B7" s="7" t="s">
        <v>15</v>
      </c>
      <c r="C7" s="8">
        <v>4</v>
      </c>
      <c r="D7" s="8">
        <v>1</v>
      </c>
      <c r="E7" s="9" t="s">
        <v>31</v>
      </c>
      <c r="F7" s="10">
        <f>14-10-D7</f>
        <v>3</v>
      </c>
      <c r="G7" s="10">
        <f>11-10-D7</f>
        <v>0</v>
      </c>
      <c r="H7" s="10">
        <v>10</v>
      </c>
      <c r="I7" s="10">
        <f t="shared" si="1"/>
        <v>13</v>
      </c>
      <c r="J7" s="10">
        <f t="shared" si="2"/>
        <v>11</v>
      </c>
      <c r="K7" s="10">
        <f>14</f>
        <v>14</v>
      </c>
      <c r="L7" s="10">
        <f>10+3+2</f>
        <v>15</v>
      </c>
      <c r="M7" s="11">
        <f t="shared" si="3"/>
        <v>0.5</v>
      </c>
      <c r="N7" s="10" t="str">
        <f t="shared" si="0"/>
        <v>резервные</v>
      </c>
    </row>
    <row r="8" spans="1:14" ht="49.2" thickTop="1" thickBot="1" x14ac:dyDescent="0.35">
      <c r="A8" s="12" t="s">
        <v>8</v>
      </c>
      <c r="B8" s="13" t="s">
        <v>9</v>
      </c>
      <c r="C8" s="14">
        <v>2.5</v>
      </c>
      <c r="D8" s="14">
        <v>3</v>
      </c>
      <c r="E8" s="15" t="s">
        <v>28</v>
      </c>
      <c r="F8" s="16">
        <f>16-13-D8</f>
        <v>0</v>
      </c>
      <c r="G8" s="16">
        <f>16-13-3</f>
        <v>0</v>
      </c>
      <c r="H8" s="16">
        <v>13</v>
      </c>
      <c r="I8" s="16">
        <f>K8-D8</f>
        <v>13</v>
      </c>
      <c r="J8" s="16">
        <f>H8+D8</f>
        <v>16</v>
      </c>
      <c r="K8" s="16">
        <f>16</f>
        <v>16</v>
      </c>
      <c r="L8" s="16"/>
      <c r="M8" s="11">
        <f>1-F8/(21-L8)</f>
        <v>1</v>
      </c>
      <c r="N8" s="10" t="str">
        <f>IF(M8&gt;0.8,"напряженные",IF(AND(M8&gt;=0.6,M8&lt;=0.8),"подкритические","резервные"))</f>
        <v>напряженные</v>
      </c>
    </row>
    <row r="9" spans="1:14" ht="25.2" thickTop="1" thickBot="1" x14ac:dyDescent="0.35">
      <c r="A9" s="6" t="s">
        <v>18</v>
      </c>
      <c r="B9" s="7" t="s">
        <v>19</v>
      </c>
      <c r="C9" s="8">
        <v>7</v>
      </c>
      <c r="D9" s="8">
        <v>2</v>
      </c>
      <c r="E9" s="9" t="s">
        <v>33</v>
      </c>
      <c r="F9" s="10">
        <f>14-8-D9</f>
        <v>4</v>
      </c>
      <c r="G9" s="10">
        <f>11-8-D9</f>
        <v>1</v>
      </c>
      <c r="H9" s="10">
        <v>8</v>
      </c>
      <c r="I9" s="10">
        <f t="shared" si="1"/>
        <v>12</v>
      </c>
      <c r="J9" s="10">
        <f t="shared" si="2"/>
        <v>10</v>
      </c>
      <c r="K9" s="10">
        <f>14</f>
        <v>14</v>
      </c>
      <c r="L9" s="10">
        <f>3+2</f>
        <v>5</v>
      </c>
      <c r="M9" s="11">
        <f t="shared" si="3"/>
        <v>0.75</v>
      </c>
      <c r="N9" s="10" t="str">
        <f t="shared" si="0"/>
        <v>подкритические</v>
      </c>
    </row>
    <row r="10" spans="1:14" ht="25.2" thickTop="1" thickBot="1" x14ac:dyDescent="0.35">
      <c r="A10" s="6" t="s">
        <v>20</v>
      </c>
      <c r="B10" s="7" t="s">
        <v>21</v>
      </c>
      <c r="C10" s="8">
        <v>6.8</v>
      </c>
      <c r="D10" s="8">
        <v>2</v>
      </c>
      <c r="E10" s="9" t="s">
        <v>34</v>
      </c>
      <c r="F10" s="10">
        <f>16-11-D10</f>
        <v>3</v>
      </c>
      <c r="G10" s="10">
        <f>16-11-D10</f>
        <v>3</v>
      </c>
      <c r="H10" s="10">
        <v>11</v>
      </c>
      <c r="I10" s="10">
        <f t="shared" si="1"/>
        <v>14</v>
      </c>
      <c r="J10" s="10">
        <f t="shared" si="2"/>
        <v>13</v>
      </c>
      <c r="K10" s="10">
        <f>16</f>
        <v>16</v>
      </c>
      <c r="L10" s="10">
        <f>10+3+2</f>
        <v>15</v>
      </c>
      <c r="M10" s="11">
        <f t="shared" si="3"/>
        <v>0.5</v>
      </c>
      <c r="N10" s="10" t="str">
        <f t="shared" si="0"/>
        <v>резервные</v>
      </c>
    </row>
    <row r="11" spans="1:14" ht="25.2" thickTop="1" thickBot="1" x14ac:dyDescent="0.35">
      <c r="A11" s="12" t="s">
        <v>22</v>
      </c>
      <c r="B11" s="13" t="s">
        <v>23</v>
      </c>
      <c r="C11" s="14">
        <v>3.9</v>
      </c>
      <c r="D11" s="14">
        <v>3</v>
      </c>
      <c r="E11" s="15" t="s">
        <v>35</v>
      </c>
      <c r="F11" s="16">
        <f>19-16-D11</f>
        <v>0</v>
      </c>
      <c r="G11" s="16">
        <f>19-16-D11</f>
        <v>0</v>
      </c>
      <c r="H11" s="16">
        <v>16</v>
      </c>
      <c r="I11" s="16">
        <f t="shared" si="1"/>
        <v>16</v>
      </c>
      <c r="J11" s="16">
        <f t="shared" si="2"/>
        <v>19</v>
      </c>
      <c r="K11" s="16">
        <f>19</f>
        <v>19</v>
      </c>
      <c r="L11" s="16"/>
      <c r="M11" s="11">
        <f>1-F11/(21-L11)</f>
        <v>1</v>
      </c>
      <c r="N11" s="10" t="str">
        <f t="shared" si="0"/>
        <v>напряженные</v>
      </c>
    </row>
    <row r="12" spans="1:14" ht="25.2" thickTop="1" thickBot="1" x14ac:dyDescent="0.35">
      <c r="A12" s="12" t="s">
        <v>24</v>
      </c>
      <c r="B12" s="13" t="s">
        <v>25</v>
      </c>
      <c r="C12" s="14">
        <v>10</v>
      </c>
      <c r="D12" s="14">
        <v>2</v>
      </c>
      <c r="E12" s="15" t="s">
        <v>36</v>
      </c>
      <c r="F12" s="16">
        <f>21-19-D12</f>
        <v>0</v>
      </c>
      <c r="G12" s="16">
        <f>21-19-2</f>
        <v>0</v>
      </c>
      <c r="H12" s="16">
        <v>19</v>
      </c>
      <c r="I12" s="16">
        <f t="shared" si="1"/>
        <v>19</v>
      </c>
      <c r="J12" s="16">
        <f t="shared" si="2"/>
        <v>21</v>
      </c>
      <c r="K12" s="16">
        <f>21</f>
        <v>21</v>
      </c>
      <c r="L12" s="16"/>
      <c r="M12" s="11">
        <f>1-F12/(21-L12)</f>
        <v>1</v>
      </c>
      <c r="N12" s="10" t="str">
        <f t="shared" si="0"/>
        <v>напряженные</v>
      </c>
    </row>
    <row r="13" spans="1:14" ht="15.6" thickTop="1" thickBot="1" x14ac:dyDescent="0.35">
      <c r="A13" s="21" t="s">
        <v>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18">
        <f>11/9</f>
        <v>1.2222222222222223</v>
      </c>
    </row>
    <row r="14" spans="1:14" ht="15" thickTop="1" x14ac:dyDescent="0.3"/>
    <row r="20" spans="6:6" x14ac:dyDescent="0.3">
      <c r="F20" t="s">
        <v>39</v>
      </c>
    </row>
  </sheetData>
  <mergeCells count="1">
    <mergeCell ref="A13:M13"/>
  </mergeCells>
  <conditionalFormatting sqref="M2:M11">
    <cfRule type="cellIs" dxfId="1" priority="1" operator="between">
      <formula>0.6</formula>
      <formula>0.8</formula>
    </cfRule>
    <cfRule type="cellIs" dxfId="0" priority="2" operator="greaterThan">
      <formula>0.8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1034" r:id="rId4">
          <objectPr defaultSize="0" autoPict="0" r:id="rId5">
            <anchor moveWithCells="1">
              <from>
                <xdr:col>11</xdr:col>
                <xdr:colOff>396240</xdr:colOff>
                <xdr:row>0</xdr:row>
                <xdr:rowOff>358140</xdr:rowOff>
              </from>
              <to>
                <xdr:col>12</xdr:col>
                <xdr:colOff>716280</xdr:colOff>
                <xdr:row>0</xdr:row>
                <xdr:rowOff>1043940</xdr:rowOff>
              </to>
            </anchor>
          </objectPr>
        </oleObject>
      </mc:Choice>
      <mc:Fallback>
        <oleObject progId="Equation.3" shapeId="103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днс</dc:creator>
  <cp:lastModifiedBy>Admin Admin</cp:lastModifiedBy>
  <cp:lastPrinted>2015-09-17T11:31:19Z</cp:lastPrinted>
  <dcterms:created xsi:type="dcterms:W3CDTF">2015-09-10T19:41:00Z</dcterms:created>
  <dcterms:modified xsi:type="dcterms:W3CDTF">2026-09-29T16:41:17Z</dcterms:modified>
</cp:coreProperties>
</file>