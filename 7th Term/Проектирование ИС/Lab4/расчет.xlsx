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72" windowWidth="22932" windowHeight="9504" activeTab="2"/>
  </bookViews>
  <sheets>
    <sheet name="параметры" sheetId="1" r:id="rId1"/>
    <sheet name="график загрузки до оптимизации" sheetId="4" r:id="rId2"/>
    <sheet name="график загрузки после оптимизац" sheetId="6" r:id="rId3"/>
  </sheets>
  <calcPr calcId="125725"/>
</workbook>
</file>

<file path=xl/calcChain.xml><?xml version="1.0" encoding="utf-8"?>
<calcChain xmlns="http://schemas.openxmlformats.org/spreadsheetml/2006/main">
  <c r="AA25" i="6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H25" i="4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G25"/>
  <c r="N13" i="1"/>
  <c r="N2"/>
  <c r="N3"/>
  <c r="N4"/>
  <c r="N5"/>
  <c r="N6"/>
  <c r="N7"/>
  <c r="N8"/>
  <c r="N9"/>
  <c r="N10"/>
  <c r="N11"/>
  <c r="N12"/>
  <c r="M11"/>
  <c r="M12"/>
  <c r="M4"/>
  <c r="M5"/>
  <c r="M6"/>
  <c r="M7"/>
  <c r="M8"/>
  <c r="M9"/>
  <c r="M10"/>
  <c r="M3"/>
  <c r="M2"/>
  <c r="L10"/>
  <c r="L9"/>
  <c r="L8"/>
  <c r="L7"/>
  <c r="L3"/>
  <c r="L2"/>
  <c r="I3"/>
  <c r="I4"/>
  <c r="I5"/>
  <c r="I6"/>
  <c r="I7"/>
  <c r="I8"/>
  <c r="I9"/>
  <c r="I10"/>
  <c r="I11"/>
  <c r="I12"/>
  <c r="I2"/>
  <c r="K12"/>
  <c r="K11"/>
  <c r="K10"/>
  <c r="K9"/>
  <c r="K8"/>
  <c r="K7"/>
  <c r="K6"/>
  <c r="K5"/>
  <c r="K4"/>
  <c r="K3"/>
  <c r="K2"/>
  <c r="J3"/>
  <c r="J4"/>
  <c r="J5"/>
  <c r="J6"/>
  <c r="J7"/>
  <c r="J8"/>
  <c r="J9"/>
  <c r="J10"/>
  <c r="J11"/>
  <c r="J12"/>
  <c r="J2"/>
  <c r="G12"/>
  <c r="G11"/>
  <c r="G10"/>
  <c r="G9"/>
  <c r="G8"/>
  <c r="G7"/>
  <c r="G6"/>
  <c r="G5"/>
  <c r="G4"/>
  <c r="G3"/>
  <c r="G2"/>
  <c r="F12"/>
  <c r="F11"/>
  <c r="F10"/>
  <c r="F9"/>
  <c r="F8"/>
  <c r="F7"/>
  <c r="F6"/>
  <c r="F4"/>
  <c r="F5"/>
  <c r="F3"/>
  <c r="F2"/>
</calcChain>
</file>

<file path=xl/comments1.xml><?xml version="1.0" encoding="utf-8"?>
<comments xmlns="http://schemas.openxmlformats.org/spreadsheetml/2006/main">
  <authors>
    <author>днс</author>
  </authors>
  <commentList>
    <comment ref="F1" authorId="0">
      <text>
        <r>
          <rPr>
            <b/>
            <sz val="8"/>
            <color indexed="81"/>
            <rFont val="Tahoma"/>
            <family val="2"/>
            <charset val="204"/>
          </rPr>
          <t>Rn(i,j)=Tп(j)-Tp(i)-t(i,j)</t>
        </r>
      </text>
    </comment>
    <comment ref="G1" authorId="0">
      <text>
        <r>
          <rPr>
            <b/>
            <sz val="8"/>
            <color indexed="81"/>
            <rFont val="Tahoma"/>
            <family val="2"/>
            <charset val="204"/>
          </rPr>
          <t>Rc(i,j)=Tp(j)-Tp(i)-t(i,j)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1" authorId="0">
      <text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>Tрн(i,j)=Tp(i)</t>
        </r>
      </text>
    </comment>
    <comment ref="I1" authorId="0">
      <text>
        <r>
          <rPr>
            <b/>
            <sz val="8"/>
            <color indexed="81"/>
            <rFont val="Tahoma"/>
            <family val="2"/>
            <charset val="204"/>
          </rPr>
          <t>Tпн(i,j)=Tпо(i,j)-Т(i,j)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J1" authorId="0">
      <text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>Tpo(i,j)=Tpн(i,j)+T(i,j)</t>
        </r>
      </text>
    </comment>
    <comment ref="K1" authorId="0">
      <text>
        <r>
          <rPr>
            <b/>
            <sz val="8"/>
            <color indexed="81"/>
            <rFont val="Tahoma"/>
            <family val="2"/>
            <charset val="204"/>
          </rPr>
          <t>Tпо(i,j)=Тп(j)</t>
        </r>
      </text>
    </comment>
    <comment ref="L1" authorId="0">
      <text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>t'кp - общая продолжительность отрезков пути, проходящего через работу (i, j), совпадающих с критическим путем</t>
        </r>
      </text>
    </comment>
    <comment ref="N1" authorId="0">
      <text>
        <r>
          <rPr>
            <sz val="9"/>
            <color indexed="81"/>
            <rFont val="Tahoma"/>
            <family val="2"/>
            <charset val="204"/>
          </rPr>
          <t xml:space="preserve">
=ЕСЛИ(M2&gt;0,8;"напряженные";ЕСЛИ(И(M2&gt;=0,6;M2&lt;=0,8);"подкритические";"резервные"))</t>
        </r>
      </text>
    </comment>
  </commentList>
</comments>
</file>

<file path=xl/sharedStrings.xml><?xml version="1.0" encoding="utf-8"?>
<sst xmlns="http://schemas.openxmlformats.org/spreadsheetml/2006/main" count="142" uniqueCount="53">
  <si>
    <t>Название работы</t>
  </si>
  <si>
    <t>Продолжи-тельность работы</t>
  </si>
  <si>
    <t>Код работы</t>
  </si>
  <si>
    <t>1.</t>
  </si>
  <si>
    <t>Подготовка оборудования для обработки тестов.</t>
  </si>
  <si>
    <t>-</t>
  </si>
  <si>
    <t>2.</t>
  </si>
  <si>
    <t>Подбор экзаменационной комиссии</t>
  </si>
  <si>
    <t>3.</t>
  </si>
  <si>
    <t>Проведение семинаров для членов экзаменационной комиссии</t>
  </si>
  <si>
    <t>4.</t>
  </si>
  <si>
    <t>Подготовка вариантов экзаменационных тестов</t>
  </si>
  <si>
    <t>5.</t>
  </si>
  <si>
    <t>Подготовка документации для проверки работ</t>
  </si>
  <si>
    <t>6.</t>
  </si>
  <si>
    <t>Проведение экзамена.</t>
  </si>
  <si>
    <t>7.</t>
  </si>
  <si>
    <t>Монтаж оборудования</t>
  </si>
  <si>
    <t>8.</t>
  </si>
  <si>
    <t>Обучение технического персонала.</t>
  </si>
  <si>
    <t>9.</t>
  </si>
  <si>
    <t>Обработка входных документов</t>
  </si>
  <si>
    <t>10.</t>
  </si>
  <si>
    <t>Проверка экзаменационных работ</t>
  </si>
  <si>
    <t>11.</t>
  </si>
  <si>
    <t>Обработка результатов.</t>
  </si>
  <si>
    <t>1-2</t>
  </si>
  <si>
    <t>1-4</t>
  </si>
  <si>
    <t>4-7</t>
  </si>
  <si>
    <t>1-3</t>
  </si>
  <si>
    <t>3-4</t>
  </si>
  <si>
    <t>3-6</t>
  </si>
  <si>
    <t>2-5</t>
  </si>
  <si>
    <t>5-6</t>
  </si>
  <si>
    <t>6-7</t>
  </si>
  <si>
    <t>7-8</t>
  </si>
  <si>
    <t>8-9</t>
  </si>
  <si>
    <t>Rn полный резерв времени</t>
  </si>
  <si>
    <t>Rc свободный резерв времени</t>
  </si>
  <si>
    <t>Раннее время начала работы</t>
  </si>
  <si>
    <t>Позднее время начала работы</t>
  </si>
  <si>
    <t>Раннее время конца работы</t>
  </si>
  <si>
    <t>Позднее время конца работы</t>
  </si>
  <si>
    <t>Коэффициент напряженности</t>
  </si>
  <si>
    <t>Tкр'</t>
  </si>
  <si>
    <t>№</t>
  </si>
  <si>
    <t>Опирается на работы</t>
  </si>
  <si>
    <t>Зоны напряженности</t>
  </si>
  <si>
    <t>Коэффициент сложности сетевого графика(Сетевые графики, имеющие коэффициент сложности от 1,0 до 1,5, являются простыми, от 1,51 до 2,0 – средней сложности, более 2,1 – сложными)=К_работ/К_событий</t>
  </si>
  <si>
    <t>Кол-во исполнителей</t>
  </si>
  <si>
    <t>t</t>
  </si>
  <si>
    <t>кол-во</t>
  </si>
  <si>
    <t>итого</t>
  </si>
</sst>
</file>

<file path=xl/styles.xml><?xml version="1.0" encoding="utf-8"?>
<styleSheet xmlns="http://schemas.openxmlformats.org/spreadsheetml/2006/main">
  <numFmts count="1">
    <numFmt numFmtId="164" formatCode="0.00;[Red]0.00"/>
  </numFmts>
  <fonts count="9"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b/>
      <sz val="8"/>
      <color indexed="81"/>
      <name val="Tahoma"/>
      <family val="2"/>
      <charset val="204"/>
    </font>
    <font>
      <sz val="9"/>
      <color theme="3" tint="-0.249977111117893"/>
      <name val="Times New Roman"/>
      <family val="1"/>
      <charset val="204"/>
    </font>
    <font>
      <sz val="9"/>
      <color theme="3" tint="-0.499984740745262"/>
      <name val="Times New Roman"/>
      <family val="1"/>
      <charset val="204"/>
    </font>
    <font>
      <sz val="9"/>
      <color rgb="FFC0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thick">
        <color theme="6" tint="-0.24994659260841701"/>
      </left>
      <right style="thick">
        <color theme="6" tint="-0.24994659260841701"/>
      </right>
      <top style="thick">
        <color theme="6" tint="-0.24994659260841701"/>
      </top>
      <bottom style="thick">
        <color theme="6" tint="-0.2499465926084170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/>
    <xf numFmtId="0" fontId="7" fillId="2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49" fontId="3" fillId="5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/>
    <xf numFmtId="1" fontId="4" fillId="5" borderId="1" xfId="0" applyNumberFormat="1" applyFont="1" applyFill="1" applyBorder="1"/>
    <xf numFmtId="164" fontId="8" fillId="0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top" wrapText="1"/>
    </xf>
    <xf numFmtId="49" fontId="6" fillId="3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8" borderId="0" xfId="0" applyFill="1"/>
    <xf numFmtId="49" fontId="0" fillId="8" borderId="0" xfId="0" applyNumberFormat="1" applyFill="1" applyAlignment="1">
      <alignment horizontal="center"/>
    </xf>
    <xf numFmtId="0" fontId="0" fillId="4" borderId="0" xfId="0" applyFill="1"/>
    <xf numFmtId="0" fontId="0" fillId="9" borderId="0" xfId="0" applyFill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>
        <c:manualLayout>
          <c:layoutTarget val="inner"/>
          <c:xMode val="edge"/>
          <c:yMode val="edge"/>
          <c:x val="0.17500580982064742"/>
          <c:y val="4.6770924467774859E-2"/>
          <c:w val="0.77809623797025373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v>График загрузки</c:v>
          </c:tx>
          <c:val>
            <c:numRef>
              <c:f>'график загрузки до оптимизации'!$G$25:$AA$25</c:f>
              <c:numCache>
                <c:formatCode>General</c:formatCode>
                <c:ptCount val="2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gapWidth val="0"/>
        <c:axId val="97904512"/>
        <c:axId val="97906048"/>
      </c:barChart>
      <c:catAx>
        <c:axId val="97904512"/>
        <c:scaling>
          <c:orientation val="minMax"/>
        </c:scaling>
        <c:axPos val="b"/>
        <c:tickLblPos val="nextTo"/>
        <c:crossAx val="97906048"/>
        <c:crosses val="autoZero"/>
        <c:auto val="1"/>
        <c:lblAlgn val="ctr"/>
        <c:lblOffset val="100"/>
      </c:catAx>
      <c:valAx>
        <c:axId val="97906048"/>
        <c:scaling>
          <c:orientation val="minMax"/>
        </c:scaling>
        <c:axPos val="l"/>
        <c:majorGridlines/>
        <c:numFmt formatCode="General" sourceLinked="1"/>
        <c:tickLblPos val="nextTo"/>
        <c:crossAx val="979045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>
        <c:manualLayout>
          <c:layoutTarget val="inner"/>
          <c:xMode val="edge"/>
          <c:yMode val="edge"/>
          <c:x val="0.17500580982064742"/>
          <c:y val="4.6770924467774859E-2"/>
          <c:w val="0.77809623797025373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v>График загрузки</c:v>
          </c:tx>
          <c:val>
            <c:numRef>
              <c:f>'график загрузки до оптимизации'!$G$25:$AA$25</c:f>
              <c:numCache>
                <c:formatCode>General</c:formatCode>
                <c:ptCount val="2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gapWidth val="0"/>
        <c:axId val="97838592"/>
        <c:axId val="97840128"/>
      </c:barChart>
      <c:catAx>
        <c:axId val="97838592"/>
        <c:scaling>
          <c:orientation val="minMax"/>
        </c:scaling>
        <c:axPos val="b"/>
        <c:tickLblPos val="nextTo"/>
        <c:crossAx val="97840128"/>
        <c:crosses val="autoZero"/>
        <c:auto val="1"/>
        <c:lblAlgn val="ctr"/>
        <c:lblOffset val="100"/>
      </c:catAx>
      <c:valAx>
        <c:axId val="97840128"/>
        <c:scaling>
          <c:orientation val="minMax"/>
        </c:scaling>
        <c:axPos val="l"/>
        <c:majorGridlines/>
        <c:numFmt formatCode="General" sourceLinked="1"/>
        <c:tickLblPos val="nextTo"/>
        <c:crossAx val="978385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>
        <c:manualLayout>
          <c:xMode val="edge"/>
          <c:yMode val="edge"/>
          <c:x val="0.57001594896331742"/>
          <c:y val="0"/>
        </c:manualLayout>
      </c:layout>
    </c:title>
    <c:plotArea>
      <c:layout>
        <c:manualLayout>
          <c:layoutTarget val="inner"/>
          <c:xMode val="edge"/>
          <c:yMode val="edge"/>
          <c:x val="5.6516185476815396E-2"/>
          <c:y val="5.6030183727034118E-2"/>
          <c:w val="0.77809623797025373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v>после оптимизации</c:v>
          </c:tx>
          <c:val>
            <c:numRef>
              <c:f>'график загрузки после оптимизац'!$G$25:$AA$25</c:f>
              <c:numCache>
                <c:formatCode>General</c:formatCode>
                <c:ptCount val="2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gapWidth val="0"/>
        <c:axId val="97733248"/>
        <c:axId val="97739136"/>
      </c:barChart>
      <c:catAx>
        <c:axId val="97733248"/>
        <c:scaling>
          <c:orientation val="minMax"/>
        </c:scaling>
        <c:axPos val="b"/>
        <c:tickLblPos val="nextTo"/>
        <c:crossAx val="97739136"/>
        <c:crosses val="autoZero"/>
        <c:auto val="1"/>
        <c:lblAlgn val="ctr"/>
        <c:lblOffset val="100"/>
      </c:catAx>
      <c:valAx>
        <c:axId val="97739136"/>
        <c:scaling>
          <c:orientation val="minMax"/>
        </c:scaling>
        <c:axPos val="l"/>
        <c:majorGridlines/>
        <c:numFmt formatCode="General" sourceLinked="1"/>
        <c:tickLblPos val="nextTo"/>
        <c:crossAx val="977332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35</xdr:row>
      <xdr:rowOff>68580</xdr:rowOff>
    </xdr:from>
    <xdr:to>
      <xdr:col>8</xdr:col>
      <xdr:colOff>190500</xdr:colOff>
      <xdr:row>55</xdr:row>
      <xdr:rowOff>175260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4820" y="12039600"/>
          <a:ext cx="6050280" cy="37642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411480</xdr:colOff>
      <xdr:row>35</xdr:row>
      <xdr:rowOff>0</xdr:rowOff>
    </xdr:from>
    <xdr:to>
      <xdr:col>8</xdr:col>
      <xdr:colOff>495300</xdr:colOff>
      <xdr:row>55</xdr:row>
      <xdr:rowOff>106680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9620" y="11971020"/>
          <a:ext cx="6050280" cy="376428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320040</xdr:colOff>
      <xdr:row>0</xdr:row>
      <xdr:rowOff>167640</xdr:rowOff>
    </xdr:from>
    <xdr:to>
      <xdr:col>32</xdr:col>
      <xdr:colOff>502920</xdr:colOff>
      <xdr:row>14</xdr:row>
      <xdr:rowOff>175260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281940</xdr:colOff>
      <xdr:row>3</xdr:row>
      <xdr:rowOff>121920</xdr:rowOff>
    </xdr:from>
    <xdr:to>
      <xdr:col>30</xdr:col>
      <xdr:colOff>373380</xdr:colOff>
      <xdr:row>17</xdr:row>
      <xdr:rowOff>175260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</xdr:colOff>
      <xdr:row>10</xdr:row>
      <xdr:rowOff>152400</xdr:rowOff>
    </xdr:from>
    <xdr:to>
      <xdr:col>11</xdr:col>
      <xdr:colOff>289560</xdr:colOff>
      <xdr:row>27</xdr:row>
      <xdr:rowOff>152400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zoomScaleNormal="100" workbookViewId="0">
      <selection activeCell="C11" sqref="C11"/>
    </sheetView>
  </sheetViews>
  <sheetFormatPr defaultRowHeight="14.4"/>
  <cols>
    <col min="1" max="1" width="5.21875" customWidth="1"/>
    <col min="2" max="2" width="17.6640625" customWidth="1"/>
    <col min="3" max="4" width="11.5546875" customWidth="1"/>
    <col min="5" max="5" width="11.5546875" style="1" customWidth="1"/>
    <col min="6" max="13" width="11.5546875" customWidth="1"/>
    <col min="14" max="14" width="12.33203125" customWidth="1"/>
  </cols>
  <sheetData>
    <row r="1" spans="1:14" ht="84" customHeight="1" thickTop="1" thickBot="1">
      <c r="A1" s="19" t="s">
        <v>45</v>
      </c>
      <c r="B1" s="19" t="s">
        <v>0</v>
      </c>
      <c r="C1" s="19" t="s">
        <v>46</v>
      </c>
      <c r="D1" s="19" t="s">
        <v>1</v>
      </c>
      <c r="E1" s="20" t="s">
        <v>2</v>
      </c>
      <c r="F1" s="2" t="s">
        <v>37</v>
      </c>
      <c r="G1" s="2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4" t="s">
        <v>44</v>
      </c>
      <c r="M1" s="4" t="s">
        <v>43</v>
      </c>
      <c r="N1" s="5" t="s">
        <v>47</v>
      </c>
    </row>
    <row r="2" spans="1:14" ht="37.200000000000003" thickTop="1" thickBot="1">
      <c r="A2" s="6" t="s">
        <v>3</v>
      </c>
      <c r="B2" s="7" t="s">
        <v>4</v>
      </c>
      <c r="C2" s="8" t="s">
        <v>5</v>
      </c>
      <c r="D2" s="8">
        <v>5</v>
      </c>
      <c r="E2" s="9" t="s">
        <v>26</v>
      </c>
      <c r="F2" s="10">
        <f>9-0-D2</f>
        <v>4</v>
      </c>
      <c r="G2" s="10">
        <f>5-0-D2</f>
        <v>0</v>
      </c>
      <c r="H2" s="10">
        <v>0</v>
      </c>
      <c r="I2" s="10">
        <f>K2-D2</f>
        <v>4</v>
      </c>
      <c r="J2" s="10">
        <f>H2+D2</f>
        <v>5</v>
      </c>
      <c r="K2" s="10">
        <f>9</f>
        <v>9</v>
      </c>
      <c r="L2" s="10">
        <f>3+2</f>
        <v>5</v>
      </c>
      <c r="M2" s="11">
        <f>1-F2/(21-L2)</f>
        <v>0.75</v>
      </c>
      <c r="N2" s="10" t="str">
        <f t="shared" ref="N2:N12" si="0">IF(M2&gt;0.8,"напряженные",IF(AND(M2&gt;=0.6,M2&lt;=0.8),"подкритические","резервные"))</f>
        <v>подкритические</v>
      </c>
    </row>
    <row r="3" spans="1:14" ht="37.200000000000003" thickTop="1" thickBot="1">
      <c r="A3" s="6" t="s">
        <v>6</v>
      </c>
      <c r="B3" s="7" t="s">
        <v>7</v>
      </c>
      <c r="C3" s="8" t="s">
        <v>5</v>
      </c>
      <c r="D3" s="8">
        <v>8</v>
      </c>
      <c r="E3" s="9" t="s">
        <v>27</v>
      </c>
      <c r="F3" s="10">
        <f>13-0-D3</f>
        <v>5</v>
      </c>
      <c r="G3" s="10">
        <f>13-0-D3</f>
        <v>5</v>
      </c>
      <c r="H3" s="10">
        <v>0</v>
      </c>
      <c r="I3" s="10">
        <f t="shared" ref="I3:I12" si="1">K3-D3</f>
        <v>5</v>
      </c>
      <c r="J3" s="10">
        <f t="shared" ref="J3:J12" si="2">H3+D3</f>
        <v>8</v>
      </c>
      <c r="K3" s="10">
        <f>13</f>
        <v>13</v>
      </c>
      <c r="L3" s="10">
        <f>3+3+2</f>
        <v>8</v>
      </c>
      <c r="M3" s="11">
        <f>1-F3/(21-L3)</f>
        <v>0.61538461538461542</v>
      </c>
      <c r="N3" s="10" t="str">
        <f t="shared" si="0"/>
        <v>подкритические</v>
      </c>
    </row>
    <row r="4" spans="1:14" ht="49.2" thickTop="1" thickBot="1">
      <c r="A4" s="12" t="s">
        <v>8</v>
      </c>
      <c r="B4" s="13" t="s">
        <v>9</v>
      </c>
      <c r="C4" s="14">
        <v>2.5</v>
      </c>
      <c r="D4" s="14">
        <v>3</v>
      </c>
      <c r="E4" s="15" t="s">
        <v>28</v>
      </c>
      <c r="F4" s="16">
        <f>16-13-D4</f>
        <v>0</v>
      </c>
      <c r="G4" s="16">
        <f>16-13-3</f>
        <v>0</v>
      </c>
      <c r="H4" s="16">
        <v>13</v>
      </c>
      <c r="I4" s="16">
        <f t="shared" si="1"/>
        <v>13</v>
      </c>
      <c r="J4" s="16">
        <f t="shared" si="2"/>
        <v>16</v>
      </c>
      <c r="K4" s="16">
        <f>16</f>
        <v>16</v>
      </c>
      <c r="L4" s="16"/>
      <c r="M4" s="11">
        <f t="shared" ref="M4:M10" si="3">1-F4/(21-L4)</f>
        <v>1</v>
      </c>
      <c r="N4" s="10" t="str">
        <f t="shared" si="0"/>
        <v>напряженные</v>
      </c>
    </row>
    <row r="5" spans="1:14" ht="37.200000000000003" thickTop="1" thickBot="1">
      <c r="A5" s="12" t="s">
        <v>10</v>
      </c>
      <c r="B5" s="13" t="s">
        <v>11</v>
      </c>
      <c r="C5" s="14" t="s">
        <v>5</v>
      </c>
      <c r="D5" s="14">
        <v>10</v>
      </c>
      <c r="E5" s="15" t="s">
        <v>29</v>
      </c>
      <c r="F5" s="16">
        <f>10-0-10</f>
        <v>0</v>
      </c>
      <c r="G5" s="16">
        <f>10-0-D5</f>
        <v>0</v>
      </c>
      <c r="H5" s="16">
        <v>0</v>
      </c>
      <c r="I5" s="16">
        <f t="shared" si="1"/>
        <v>0</v>
      </c>
      <c r="J5" s="16">
        <f t="shared" si="2"/>
        <v>10</v>
      </c>
      <c r="K5" s="16">
        <f>10</f>
        <v>10</v>
      </c>
      <c r="L5" s="16"/>
      <c r="M5" s="11">
        <f t="shared" si="3"/>
        <v>1</v>
      </c>
      <c r="N5" s="10" t="str">
        <f t="shared" si="0"/>
        <v>напряженные</v>
      </c>
    </row>
    <row r="6" spans="1:14" ht="37.200000000000003" thickTop="1" thickBot="1">
      <c r="A6" s="12" t="s">
        <v>12</v>
      </c>
      <c r="B6" s="13" t="s">
        <v>13</v>
      </c>
      <c r="C6" s="14">
        <v>4</v>
      </c>
      <c r="D6" s="14">
        <v>3</v>
      </c>
      <c r="E6" s="15" t="s">
        <v>30</v>
      </c>
      <c r="F6" s="17">
        <f>13-10-D6</f>
        <v>0</v>
      </c>
      <c r="G6" s="16">
        <f>13-10-D6</f>
        <v>0</v>
      </c>
      <c r="H6" s="16">
        <v>10</v>
      </c>
      <c r="I6" s="16">
        <f t="shared" si="1"/>
        <v>10</v>
      </c>
      <c r="J6" s="16">
        <f t="shared" si="2"/>
        <v>13</v>
      </c>
      <c r="K6" s="16">
        <f>13</f>
        <v>13</v>
      </c>
      <c r="L6" s="16"/>
      <c r="M6" s="11">
        <f t="shared" si="3"/>
        <v>1</v>
      </c>
      <c r="N6" s="10" t="str">
        <f t="shared" si="0"/>
        <v>напряженные</v>
      </c>
    </row>
    <row r="7" spans="1:14" ht="15.6" thickTop="1" thickBot="1">
      <c r="A7" s="6" t="s">
        <v>14</v>
      </c>
      <c r="B7" s="7" t="s">
        <v>15</v>
      </c>
      <c r="C7" s="8">
        <v>4</v>
      </c>
      <c r="D7" s="8">
        <v>1</v>
      </c>
      <c r="E7" s="9" t="s">
        <v>31</v>
      </c>
      <c r="F7" s="10">
        <f>14-10-D7</f>
        <v>3</v>
      </c>
      <c r="G7" s="10">
        <f>11-10-D7</f>
        <v>0</v>
      </c>
      <c r="H7" s="10">
        <v>10</v>
      </c>
      <c r="I7" s="10">
        <f t="shared" si="1"/>
        <v>13</v>
      </c>
      <c r="J7" s="10">
        <f t="shared" si="2"/>
        <v>11</v>
      </c>
      <c r="K7" s="10">
        <f>14</f>
        <v>14</v>
      </c>
      <c r="L7" s="10">
        <f>10+3+2</f>
        <v>15</v>
      </c>
      <c r="M7" s="11">
        <f t="shared" si="3"/>
        <v>0.5</v>
      </c>
      <c r="N7" s="10" t="str">
        <f t="shared" si="0"/>
        <v>резервные</v>
      </c>
    </row>
    <row r="8" spans="1:14" ht="15.6" thickTop="1" thickBot="1">
      <c r="A8" s="6" t="s">
        <v>16</v>
      </c>
      <c r="B8" s="7" t="s">
        <v>17</v>
      </c>
      <c r="C8" s="8">
        <v>1</v>
      </c>
      <c r="D8" s="8">
        <v>3</v>
      </c>
      <c r="E8" s="9" t="s">
        <v>32</v>
      </c>
      <c r="F8" s="10">
        <f>12-5-D8</f>
        <v>4</v>
      </c>
      <c r="G8" s="10">
        <f>8-5-D8</f>
        <v>0</v>
      </c>
      <c r="H8" s="10">
        <v>5</v>
      </c>
      <c r="I8" s="10">
        <f t="shared" si="1"/>
        <v>9</v>
      </c>
      <c r="J8" s="10">
        <f t="shared" si="2"/>
        <v>8</v>
      </c>
      <c r="K8" s="10">
        <f>12</f>
        <v>12</v>
      </c>
      <c r="L8" s="10">
        <f>3+2</f>
        <v>5</v>
      </c>
      <c r="M8" s="11">
        <f t="shared" si="3"/>
        <v>0.75</v>
      </c>
      <c r="N8" s="10" t="str">
        <f t="shared" si="0"/>
        <v>подкритические</v>
      </c>
    </row>
    <row r="9" spans="1:14" ht="25.2" thickTop="1" thickBot="1">
      <c r="A9" s="6" t="s">
        <v>18</v>
      </c>
      <c r="B9" s="7" t="s">
        <v>19</v>
      </c>
      <c r="C9" s="8">
        <v>7</v>
      </c>
      <c r="D9" s="8">
        <v>2</v>
      </c>
      <c r="E9" s="9" t="s">
        <v>33</v>
      </c>
      <c r="F9" s="10">
        <f>14-8-D9</f>
        <v>4</v>
      </c>
      <c r="G9" s="10">
        <f>11-8-D9</f>
        <v>1</v>
      </c>
      <c r="H9" s="10">
        <v>8</v>
      </c>
      <c r="I9" s="10">
        <f t="shared" si="1"/>
        <v>12</v>
      </c>
      <c r="J9" s="10">
        <f t="shared" si="2"/>
        <v>10</v>
      </c>
      <c r="K9" s="10">
        <f>14</f>
        <v>14</v>
      </c>
      <c r="L9" s="10">
        <f>3+2</f>
        <v>5</v>
      </c>
      <c r="M9" s="11">
        <f t="shared" si="3"/>
        <v>0.75</v>
      </c>
      <c r="N9" s="10" t="str">
        <f t="shared" si="0"/>
        <v>подкритические</v>
      </c>
    </row>
    <row r="10" spans="1:14" ht="25.2" thickTop="1" thickBot="1">
      <c r="A10" s="6" t="s">
        <v>20</v>
      </c>
      <c r="B10" s="7" t="s">
        <v>21</v>
      </c>
      <c r="C10" s="8">
        <v>6.8</v>
      </c>
      <c r="D10" s="8">
        <v>2</v>
      </c>
      <c r="E10" s="9" t="s">
        <v>34</v>
      </c>
      <c r="F10" s="10">
        <f>16-11-D10</f>
        <v>3</v>
      </c>
      <c r="G10" s="10">
        <f>16-11-D10</f>
        <v>3</v>
      </c>
      <c r="H10" s="10">
        <v>11</v>
      </c>
      <c r="I10" s="10">
        <f t="shared" si="1"/>
        <v>14</v>
      </c>
      <c r="J10" s="10">
        <f t="shared" si="2"/>
        <v>13</v>
      </c>
      <c r="K10" s="10">
        <f>16</f>
        <v>16</v>
      </c>
      <c r="L10" s="10">
        <f>10+3+2</f>
        <v>15</v>
      </c>
      <c r="M10" s="11">
        <f t="shared" si="3"/>
        <v>0.5</v>
      </c>
      <c r="N10" s="10" t="str">
        <f t="shared" si="0"/>
        <v>резервные</v>
      </c>
    </row>
    <row r="11" spans="1:14" ht="25.2" thickTop="1" thickBot="1">
      <c r="A11" s="12" t="s">
        <v>22</v>
      </c>
      <c r="B11" s="13" t="s">
        <v>23</v>
      </c>
      <c r="C11" s="14">
        <v>3.9</v>
      </c>
      <c r="D11" s="14">
        <v>3</v>
      </c>
      <c r="E11" s="15" t="s">
        <v>35</v>
      </c>
      <c r="F11" s="16">
        <f>19-16-D11</f>
        <v>0</v>
      </c>
      <c r="G11" s="16">
        <f>19-16-D11</f>
        <v>0</v>
      </c>
      <c r="H11" s="16">
        <v>16</v>
      </c>
      <c r="I11" s="16">
        <f t="shared" si="1"/>
        <v>16</v>
      </c>
      <c r="J11" s="16">
        <f t="shared" si="2"/>
        <v>19</v>
      </c>
      <c r="K11" s="16">
        <f>19</f>
        <v>19</v>
      </c>
      <c r="L11" s="16"/>
      <c r="M11" s="11">
        <f>1-F11/(21-L11)</f>
        <v>1</v>
      </c>
      <c r="N11" s="10" t="str">
        <f t="shared" si="0"/>
        <v>напряженные</v>
      </c>
    </row>
    <row r="12" spans="1:14" ht="25.2" thickTop="1" thickBot="1">
      <c r="A12" s="12" t="s">
        <v>24</v>
      </c>
      <c r="B12" s="13" t="s">
        <v>25</v>
      </c>
      <c r="C12" s="14">
        <v>10</v>
      </c>
      <c r="D12" s="14">
        <v>2</v>
      </c>
      <c r="E12" s="15" t="s">
        <v>36</v>
      </c>
      <c r="F12" s="16">
        <f>21-19-D12</f>
        <v>0</v>
      </c>
      <c r="G12" s="16">
        <f>21-19-2</f>
        <v>0</v>
      </c>
      <c r="H12" s="16">
        <v>19</v>
      </c>
      <c r="I12" s="16">
        <f t="shared" si="1"/>
        <v>19</v>
      </c>
      <c r="J12" s="16">
        <f t="shared" si="2"/>
        <v>21</v>
      </c>
      <c r="K12" s="16">
        <f>21</f>
        <v>21</v>
      </c>
      <c r="L12" s="16"/>
      <c r="M12" s="11">
        <f>1-F12/(21-L12)</f>
        <v>1</v>
      </c>
      <c r="N12" s="10" t="str">
        <f t="shared" si="0"/>
        <v>напряженные</v>
      </c>
    </row>
    <row r="13" spans="1:14" ht="15.6" thickTop="1" thickBot="1">
      <c r="A13" s="33" t="s">
        <v>48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18">
        <f>11/9</f>
        <v>1.2222222222222223</v>
      </c>
    </row>
    <row r="14" spans="1:14" ht="15" thickTop="1"/>
    <row r="17" spans="2:13" ht="15" thickBot="1"/>
    <row r="18" spans="2:13" ht="37.200000000000003" thickTop="1" thickBot="1">
      <c r="B18" s="19" t="s">
        <v>0</v>
      </c>
      <c r="C18" s="19" t="s">
        <v>46</v>
      </c>
      <c r="D18" s="19" t="s">
        <v>1</v>
      </c>
      <c r="E18" s="20" t="s">
        <v>2</v>
      </c>
      <c r="F18" s="19" t="s">
        <v>49</v>
      </c>
      <c r="J18" s="26">
        <v>1</v>
      </c>
      <c r="K18" s="27" t="s">
        <v>26</v>
      </c>
      <c r="L18" s="26"/>
      <c r="M18" s="26">
        <v>2</v>
      </c>
    </row>
    <row r="19" spans="2:13" ht="37.200000000000003" thickTop="1" thickBot="1">
      <c r="B19" s="7" t="s">
        <v>4</v>
      </c>
      <c r="C19" s="8" t="s">
        <v>5</v>
      </c>
      <c r="D19" s="8">
        <v>5</v>
      </c>
      <c r="E19" s="9" t="s">
        <v>26</v>
      </c>
      <c r="F19" s="24">
        <v>2</v>
      </c>
      <c r="J19" s="26">
        <v>2</v>
      </c>
      <c r="K19" s="27" t="s">
        <v>29</v>
      </c>
      <c r="L19" s="26"/>
      <c r="M19" s="26">
        <v>1</v>
      </c>
    </row>
    <row r="20" spans="2:13" ht="37.200000000000003" thickTop="1" thickBot="1">
      <c r="B20" s="7" t="s">
        <v>7</v>
      </c>
      <c r="C20" s="8" t="s">
        <v>5</v>
      </c>
      <c r="D20" s="8">
        <v>8</v>
      </c>
      <c r="E20" s="9" t="s">
        <v>27</v>
      </c>
      <c r="F20" s="24">
        <v>2</v>
      </c>
      <c r="J20" s="26">
        <v>3</v>
      </c>
      <c r="K20" s="27" t="s">
        <v>27</v>
      </c>
      <c r="L20" s="26"/>
      <c r="M20" s="26">
        <v>2</v>
      </c>
    </row>
    <row r="21" spans="2:13" ht="49.2" thickTop="1" thickBot="1">
      <c r="B21" s="13" t="s">
        <v>9</v>
      </c>
      <c r="C21" s="14">
        <v>2.5</v>
      </c>
      <c r="D21" s="14">
        <v>3</v>
      </c>
      <c r="E21" s="15" t="s">
        <v>28</v>
      </c>
      <c r="F21" s="25">
        <v>1</v>
      </c>
      <c r="J21" s="26">
        <v>4</v>
      </c>
      <c r="K21" s="27" t="s">
        <v>32</v>
      </c>
      <c r="L21" s="26">
        <v>1</v>
      </c>
      <c r="M21" s="26">
        <v>2</v>
      </c>
    </row>
    <row r="22" spans="2:13" ht="37.200000000000003" thickTop="1" thickBot="1">
      <c r="B22" s="13" t="s">
        <v>11</v>
      </c>
      <c r="C22" s="14" t="s">
        <v>5</v>
      </c>
      <c r="D22" s="14">
        <v>10</v>
      </c>
      <c r="E22" s="15" t="s">
        <v>29</v>
      </c>
      <c r="F22" s="25">
        <v>1</v>
      </c>
      <c r="J22" s="26">
        <v>5</v>
      </c>
      <c r="K22" s="27" t="s">
        <v>30</v>
      </c>
      <c r="L22" s="26">
        <v>2</v>
      </c>
      <c r="M22" s="26">
        <v>3</v>
      </c>
    </row>
    <row r="23" spans="2:13" ht="37.200000000000003" thickTop="1" thickBot="1">
      <c r="B23" s="13" t="s">
        <v>13</v>
      </c>
      <c r="C23" s="14">
        <v>4</v>
      </c>
      <c r="D23" s="14">
        <v>3</v>
      </c>
      <c r="E23" s="15" t="s">
        <v>30</v>
      </c>
      <c r="F23" s="25">
        <v>3</v>
      </c>
      <c r="J23" s="26">
        <v>6</v>
      </c>
      <c r="K23" s="27" t="s">
        <v>31</v>
      </c>
      <c r="L23" s="26">
        <v>2</v>
      </c>
      <c r="M23" s="26">
        <v>4</v>
      </c>
    </row>
    <row r="24" spans="2:13" ht="15.6" thickTop="1" thickBot="1">
      <c r="B24" s="7" t="s">
        <v>15</v>
      </c>
      <c r="C24" s="8">
        <v>4</v>
      </c>
      <c r="D24" s="8">
        <v>1</v>
      </c>
      <c r="E24" s="9" t="s">
        <v>31</v>
      </c>
      <c r="F24" s="24">
        <v>4</v>
      </c>
      <c r="J24" s="26">
        <v>7</v>
      </c>
      <c r="K24" s="27" t="s">
        <v>28</v>
      </c>
      <c r="L24" s="26">
        <v>3.5</v>
      </c>
      <c r="M24" s="26">
        <v>1</v>
      </c>
    </row>
    <row r="25" spans="2:13" ht="15.6" thickTop="1" thickBot="1">
      <c r="B25" s="7" t="s">
        <v>17</v>
      </c>
      <c r="C25" s="8">
        <v>1</v>
      </c>
      <c r="D25" s="8">
        <v>3</v>
      </c>
      <c r="E25" s="9" t="s">
        <v>32</v>
      </c>
      <c r="F25" s="24">
        <v>2</v>
      </c>
      <c r="J25" s="26">
        <v>8</v>
      </c>
      <c r="K25" s="27" t="s">
        <v>33</v>
      </c>
      <c r="L25" s="26">
        <v>4</v>
      </c>
      <c r="M25" s="26">
        <v>2</v>
      </c>
    </row>
    <row r="26" spans="2:13" ht="25.2" thickTop="1" thickBot="1">
      <c r="B26" s="7" t="s">
        <v>19</v>
      </c>
      <c r="C26" s="8">
        <v>7</v>
      </c>
      <c r="D26" s="8">
        <v>2</v>
      </c>
      <c r="E26" s="9" t="s">
        <v>33</v>
      </c>
      <c r="F26" s="24">
        <v>2</v>
      </c>
      <c r="J26" s="26">
        <v>9</v>
      </c>
      <c r="K26" s="27" t="s">
        <v>34</v>
      </c>
      <c r="L26" s="26">
        <v>6.8</v>
      </c>
      <c r="M26" s="26">
        <v>4</v>
      </c>
    </row>
    <row r="27" spans="2:13" ht="25.2" thickTop="1" thickBot="1">
      <c r="B27" s="7" t="s">
        <v>21</v>
      </c>
      <c r="C27" s="8">
        <v>6.8</v>
      </c>
      <c r="D27" s="8">
        <v>2</v>
      </c>
      <c r="E27" s="9" t="s">
        <v>34</v>
      </c>
      <c r="F27" s="24">
        <v>4</v>
      </c>
      <c r="J27" s="26">
        <v>10</v>
      </c>
      <c r="K27" s="27" t="s">
        <v>35</v>
      </c>
      <c r="L27" s="26">
        <v>7.9</v>
      </c>
      <c r="M27" s="26">
        <v>3</v>
      </c>
    </row>
    <row r="28" spans="2:13" ht="25.2" thickTop="1" thickBot="1">
      <c r="B28" s="13" t="s">
        <v>23</v>
      </c>
      <c r="C28" s="14">
        <v>3.9</v>
      </c>
      <c r="D28" s="14">
        <v>3</v>
      </c>
      <c r="E28" s="15" t="s">
        <v>35</v>
      </c>
      <c r="F28" s="25">
        <v>3</v>
      </c>
      <c r="J28" s="26">
        <v>11</v>
      </c>
      <c r="K28" s="27" t="s">
        <v>36</v>
      </c>
      <c r="L28" s="26">
        <v>10</v>
      </c>
      <c r="M28" s="26">
        <v>2</v>
      </c>
    </row>
    <row r="29" spans="2:13" ht="25.2" thickTop="1" thickBot="1">
      <c r="B29" s="13" t="s">
        <v>25</v>
      </c>
      <c r="C29" s="14">
        <v>10</v>
      </c>
      <c r="D29" s="14">
        <v>2</v>
      </c>
      <c r="E29" s="15" t="s">
        <v>36</v>
      </c>
      <c r="F29" s="25">
        <v>1</v>
      </c>
      <c r="J29" s="21"/>
      <c r="K29" s="22"/>
      <c r="L29" s="21"/>
    </row>
    <row r="30" spans="2:13" ht="15" thickTop="1">
      <c r="K30" s="1"/>
    </row>
    <row r="31" spans="2:13">
      <c r="K31" s="1"/>
    </row>
    <row r="32" spans="2:13">
      <c r="K32" s="1"/>
    </row>
    <row r="33" spans="11:11">
      <c r="K33" s="1"/>
    </row>
    <row r="34" spans="11:11">
      <c r="K34" s="1"/>
    </row>
  </sheetData>
  <mergeCells count="1">
    <mergeCell ref="A13:M13"/>
  </mergeCells>
  <conditionalFormatting sqref="M2:M11">
    <cfRule type="cellIs" dxfId="1" priority="2" operator="greaterThan">
      <formula>0.8</formula>
    </cfRule>
    <cfRule type="cellIs" dxfId="0" priority="1" operator="between">
      <formula>0.6</formula>
      <formula>0.8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legacyDrawing r:id="rId3"/>
  <oleObjects>
    <oleObject progId="Equation.3" shapeId="1034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5"/>
  <sheetViews>
    <sheetView workbookViewId="0">
      <selection activeCell="E25" sqref="E25"/>
    </sheetView>
  </sheetViews>
  <sheetFormatPr defaultRowHeight="14.4"/>
  <cols>
    <col min="7" max="27" width="4.77734375" customWidth="1"/>
  </cols>
  <sheetData>
    <row r="1" spans="1:27" ht="15.6" thickTop="1" thickBot="1">
      <c r="A1" s="26">
        <v>1</v>
      </c>
      <c r="B1" s="27" t="s">
        <v>26</v>
      </c>
      <c r="C1" s="26"/>
      <c r="D1" s="26">
        <v>2</v>
      </c>
      <c r="E1" s="23">
        <v>5</v>
      </c>
    </row>
    <row r="2" spans="1:27" ht="15.6" thickTop="1" thickBot="1">
      <c r="A2" s="26">
        <v>2</v>
      </c>
      <c r="B2" s="27" t="s">
        <v>29</v>
      </c>
      <c r="C2" s="26"/>
      <c r="D2" s="26">
        <v>1</v>
      </c>
      <c r="E2" s="23">
        <v>10</v>
      </c>
    </row>
    <row r="3" spans="1:27" ht="15.6" thickTop="1" thickBot="1">
      <c r="A3" s="26">
        <v>3</v>
      </c>
      <c r="B3" s="27" t="s">
        <v>27</v>
      </c>
      <c r="C3" s="26"/>
      <c r="D3" s="26">
        <v>2</v>
      </c>
      <c r="E3" s="23">
        <v>8</v>
      </c>
    </row>
    <row r="4" spans="1:27" ht="15.6" thickTop="1" thickBot="1">
      <c r="A4" s="26">
        <v>4</v>
      </c>
      <c r="B4" s="27" t="s">
        <v>32</v>
      </c>
      <c r="C4" s="26">
        <v>1</v>
      </c>
      <c r="D4" s="26">
        <v>2</v>
      </c>
      <c r="E4" s="28">
        <v>3</v>
      </c>
      <c r="F4" s="1"/>
    </row>
    <row r="5" spans="1:27" ht="15.6" thickTop="1" thickBot="1">
      <c r="A5" s="26">
        <v>5</v>
      </c>
      <c r="B5" s="27" t="s">
        <v>30</v>
      </c>
      <c r="C5" s="26">
        <v>2</v>
      </c>
      <c r="D5" s="26">
        <v>3</v>
      </c>
      <c r="E5" s="28">
        <v>3</v>
      </c>
      <c r="F5" s="1"/>
    </row>
    <row r="6" spans="1:27" ht="15.6" thickTop="1" thickBot="1">
      <c r="A6" s="26">
        <v>6</v>
      </c>
      <c r="B6" s="27" t="s">
        <v>31</v>
      </c>
      <c r="C6" s="26">
        <v>2</v>
      </c>
      <c r="D6" s="26">
        <v>4</v>
      </c>
      <c r="E6" s="28">
        <v>1</v>
      </c>
      <c r="F6" s="1"/>
    </row>
    <row r="7" spans="1:27" ht="15.6" thickTop="1" thickBot="1">
      <c r="A7" s="26">
        <v>7</v>
      </c>
      <c r="B7" s="27" t="s">
        <v>28</v>
      </c>
      <c r="C7" s="26">
        <v>3.5</v>
      </c>
      <c r="D7" s="26">
        <v>1</v>
      </c>
      <c r="E7" s="28">
        <v>3</v>
      </c>
      <c r="F7" s="1"/>
    </row>
    <row r="8" spans="1:27" ht="15.6" thickTop="1" thickBot="1">
      <c r="A8" s="26">
        <v>8</v>
      </c>
      <c r="B8" s="27" t="s">
        <v>33</v>
      </c>
      <c r="C8" s="26">
        <v>4</v>
      </c>
      <c r="D8" s="26">
        <v>2</v>
      </c>
      <c r="E8" s="28">
        <v>2</v>
      </c>
      <c r="F8" s="1"/>
    </row>
    <row r="9" spans="1:27" ht="15.6" thickTop="1" thickBot="1">
      <c r="A9" s="26">
        <v>9</v>
      </c>
      <c r="B9" s="27" t="s">
        <v>34</v>
      </c>
      <c r="C9" s="26">
        <v>6.8</v>
      </c>
      <c r="D9" s="26">
        <v>4</v>
      </c>
      <c r="E9" s="28">
        <v>2</v>
      </c>
      <c r="F9" s="1"/>
    </row>
    <row r="10" spans="1:27" ht="15.6" thickTop="1" thickBot="1">
      <c r="A10" s="26">
        <v>10</v>
      </c>
      <c r="B10" s="27" t="s">
        <v>35</v>
      </c>
      <c r="C10" s="26">
        <v>7.9</v>
      </c>
      <c r="D10" s="26">
        <v>3</v>
      </c>
      <c r="E10" s="28">
        <v>3</v>
      </c>
      <c r="F10" s="1"/>
    </row>
    <row r="11" spans="1:27" ht="15.6" thickTop="1" thickBot="1">
      <c r="A11" s="26">
        <v>11</v>
      </c>
      <c r="B11" s="27" t="s">
        <v>36</v>
      </c>
      <c r="C11" s="26">
        <v>10</v>
      </c>
      <c r="D11" s="26">
        <v>2</v>
      </c>
      <c r="E11" s="28">
        <v>2</v>
      </c>
      <c r="F11" s="1"/>
    </row>
    <row r="12" spans="1:27" ht="15" thickTop="1">
      <c r="D12" t="s">
        <v>51</v>
      </c>
      <c r="E12" s="21" t="s">
        <v>50</v>
      </c>
      <c r="F12" s="30" t="s">
        <v>36</v>
      </c>
      <c r="Z12" s="31">
        <v>2</v>
      </c>
      <c r="AA12" s="31">
        <v>2</v>
      </c>
    </row>
    <row r="13" spans="1:27">
      <c r="F13" s="30" t="s">
        <v>35</v>
      </c>
      <c r="W13" s="31">
        <v>3</v>
      </c>
      <c r="X13" s="31">
        <v>3</v>
      </c>
      <c r="Y13" s="31">
        <v>3</v>
      </c>
    </row>
    <row r="14" spans="1:27">
      <c r="F14" s="30" t="s">
        <v>34</v>
      </c>
      <c r="R14">
        <v>4</v>
      </c>
      <c r="S14">
        <v>4</v>
      </c>
    </row>
    <row r="15" spans="1:27">
      <c r="F15" s="30" t="s">
        <v>33</v>
      </c>
      <c r="O15">
        <v>2</v>
      </c>
      <c r="P15">
        <v>2</v>
      </c>
    </row>
    <row r="16" spans="1:27">
      <c r="F16" s="30" t="s">
        <v>28</v>
      </c>
      <c r="T16" s="31">
        <v>1</v>
      </c>
      <c r="U16" s="31">
        <v>1</v>
      </c>
      <c r="V16" s="31">
        <v>1</v>
      </c>
    </row>
    <row r="17" spans="6:27">
      <c r="F17" s="30" t="s">
        <v>31</v>
      </c>
      <c r="Q17">
        <v>4</v>
      </c>
    </row>
    <row r="18" spans="6:27">
      <c r="F18" s="30" t="s">
        <v>30</v>
      </c>
      <c r="Q18" s="31">
        <v>3</v>
      </c>
      <c r="R18" s="31">
        <v>3</v>
      </c>
      <c r="S18" s="31">
        <v>3</v>
      </c>
    </row>
    <row r="19" spans="6:27">
      <c r="F19" s="30" t="s">
        <v>32</v>
      </c>
      <c r="L19">
        <v>2</v>
      </c>
      <c r="M19">
        <v>2</v>
      </c>
      <c r="N19">
        <v>2</v>
      </c>
    </row>
    <row r="20" spans="6:27">
      <c r="F20" s="30" t="s">
        <v>27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</row>
    <row r="21" spans="6:27">
      <c r="F21" s="30" t="s">
        <v>29</v>
      </c>
      <c r="G21" s="31">
        <v>1</v>
      </c>
      <c r="H21" s="31">
        <v>1</v>
      </c>
      <c r="I21" s="31">
        <v>1</v>
      </c>
      <c r="J21" s="31">
        <v>1</v>
      </c>
      <c r="K21" s="31">
        <v>1</v>
      </c>
      <c r="L21" s="31">
        <v>1</v>
      </c>
      <c r="M21" s="31">
        <v>1</v>
      </c>
      <c r="N21" s="31">
        <v>1</v>
      </c>
      <c r="O21" s="31">
        <v>1</v>
      </c>
      <c r="P21" s="31">
        <v>1</v>
      </c>
    </row>
    <row r="22" spans="6:27">
      <c r="F22" s="30" t="s">
        <v>26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6:27">
      <c r="G23" s="29">
        <v>1</v>
      </c>
      <c r="H23" s="29">
        <v>2</v>
      </c>
      <c r="I23" s="29">
        <v>3</v>
      </c>
      <c r="J23" s="29">
        <v>4</v>
      </c>
      <c r="K23" s="29">
        <v>5</v>
      </c>
      <c r="L23" s="29">
        <v>6</v>
      </c>
      <c r="M23" s="29">
        <v>7</v>
      </c>
      <c r="N23" s="29">
        <v>8</v>
      </c>
      <c r="O23" s="29">
        <v>9</v>
      </c>
      <c r="P23" s="29">
        <v>10</v>
      </c>
      <c r="Q23" s="29">
        <v>11</v>
      </c>
      <c r="R23" s="29">
        <v>12</v>
      </c>
      <c r="S23" s="29">
        <v>13</v>
      </c>
      <c r="T23" s="29">
        <v>14</v>
      </c>
      <c r="U23" s="29">
        <v>15</v>
      </c>
      <c r="V23" s="29">
        <v>16</v>
      </c>
      <c r="W23" s="29">
        <v>17</v>
      </c>
      <c r="X23" s="29">
        <v>18</v>
      </c>
      <c r="Y23" s="29">
        <v>19</v>
      </c>
      <c r="Z23" s="29">
        <v>20</v>
      </c>
      <c r="AA23" s="29">
        <v>21</v>
      </c>
    </row>
    <row r="25" spans="6:27">
      <c r="F25" s="30" t="s">
        <v>52</v>
      </c>
      <c r="G25">
        <f>SUM(G12:G22)</f>
        <v>5</v>
      </c>
      <c r="H25">
        <f t="shared" ref="H25:AA25" si="0">SUM(H12:H22)</f>
        <v>5</v>
      </c>
      <c r="I25">
        <f t="shared" si="0"/>
        <v>5</v>
      </c>
      <c r="J25">
        <f t="shared" si="0"/>
        <v>5</v>
      </c>
      <c r="K25">
        <f t="shared" si="0"/>
        <v>5</v>
      </c>
      <c r="L25">
        <f t="shared" si="0"/>
        <v>5</v>
      </c>
      <c r="M25">
        <f t="shared" si="0"/>
        <v>5</v>
      </c>
      <c r="N25">
        <f t="shared" si="0"/>
        <v>5</v>
      </c>
      <c r="O25">
        <f t="shared" si="0"/>
        <v>3</v>
      </c>
      <c r="P25">
        <f t="shared" si="0"/>
        <v>3</v>
      </c>
      <c r="Q25">
        <f t="shared" si="0"/>
        <v>7</v>
      </c>
      <c r="R25">
        <f t="shared" si="0"/>
        <v>7</v>
      </c>
      <c r="S25">
        <f t="shared" si="0"/>
        <v>7</v>
      </c>
      <c r="T25">
        <f t="shared" si="0"/>
        <v>1</v>
      </c>
      <c r="U25">
        <f t="shared" si="0"/>
        <v>1</v>
      </c>
      <c r="V25">
        <f t="shared" si="0"/>
        <v>1</v>
      </c>
      <c r="W25">
        <f t="shared" si="0"/>
        <v>3</v>
      </c>
      <c r="X25">
        <f t="shared" si="0"/>
        <v>3</v>
      </c>
      <c r="Y25">
        <f t="shared" si="0"/>
        <v>3</v>
      </c>
      <c r="Z25">
        <f t="shared" si="0"/>
        <v>2</v>
      </c>
      <c r="AA25">
        <f t="shared" si="0"/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5"/>
  <sheetViews>
    <sheetView tabSelected="1" workbookViewId="0">
      <selection activeCell="P28" sqref="P28"/>
    </sheetView>
  </sheetViews>
  <sheetFormatPr defaultRowHeight="14.4"/>
  <cols>
    <col min="7" max="27" width="4.77734375" customWidth="1"/>
  </cols>
  <sheetData>
    <row r="1" spans="1:27" ht="15.6" thickTop="1" thickBot="1">
      <c r="A1" s="26">
        <v>1</v>
      </c>
      <c r="B1" s="27" t="s">
        <v>26</v>
      </c>
      <c r="C1" s="26"/>
      <c r="D1" s="26">
        <v>2</v>
      </c>
      <c r="E1" s="23">
        <v>5</v>
      </c>
    </row>
    <row r="2" spans="1:27" ht="15.6" thickTop="1" thickBot="1">
      <c r="A2" s="26">
        <v>2</v>
      </c>
      <c r="B2" s="27" t="s">
        <v>29</v>
      </c>
      <c r="C2" s="26"/>
      <c r="D2" s="26">
        <v>1</v>
      </c>
      <c r="E2" s="23">
        <v>10</v>
      </c>
    </row>
    <row r="3" spans="1:27" ht="15.6" thickTop="1" thickBot="1">
      <c r="A3" s="26">
        <v>3</v>
      </c>
      <c r="B3" s="27" t="s">
        <v>27</v>
      </c>
      <c r="C3" s="26"/>
      <c r="D3" s="26">
        <v>2</v>
      </c>
      <c r="E3" s="23">
        <v>8</v>
      </c>
    </row>
    <row r="4" spans="1:27" ht="15.6" thickTop="1" thickBot="1">
      <c r="A4" s="26">
        <v>4</v>
      </c>
      <c r="B4" s="27" t="s">
        <v>32</v>
      </c>
      <c r="C4" s="26">
        <v>1</v>
      </c>
      <c r="D4" s="26">
        <v>2</v>
      </c>
      <c r="E4" s="28">
        <v>3</v>
      </c>
      <c r="F4" s="1"/>
    </row>
    <row r="5" spans="1:27" ht="15.6" thickTop="1" thickBot="1">
      <c r="A5" s="26">
        <v>5</v>
      </c>
      <c r="B5" s="27" t="s">
        <v>30</v>
      </c>
      <c r="C5" s="26">
        <v>2</v>
      </c>
      <c r="D5" s="26">
        <v>3</v>
      </c>
      <c r="E5" s="28">
        <v>3</v>
      </c>
      <c r="F5" s="1"/>
    </row>
    <row r="6" spans="1:27" ht="15.6" thickTop="1" thickBot="1">
      <c r="A6" s="26">
        <v>6</v>
      </c>
      <c r="B6" s="27" t="s">
        <v>31</v>
      </c>
      <c r="C6" s="26">
        <v>2</v>
      </c>
      <c r="D6" s="26">
        <v>4</v>
      </c>
      <c r="E6" s="28">
        <v>1</v>
      </c>
      <c r="F6" s="1"/>
    </row>
    <row r="7" spans="1:27" ht="15.6" thickTop="1" thickBot="1">
      <c r="A7" s="26">
        <v>7</v>
      </c>
      <c r="B7" s="27" t="s">
        <v>28</v>
      </c>
      <c r="C7" s="26">
        <v>3.5</v>
      </c>
      <c r="D7" s="26">
        <v>1</v>
      </c>
      <c r="E7" s="28">
        <v>3</v>
      </c>
      <c r="F7" s="1"/>
    </row>
    <row r="8" spans="1:27" ht="15.6" thickTop="1" thickBot="1">
      <c r="A8" s="26">
        <v>8</v>
      </c>
      <c r="B8" s="27" t="s">
        <v>33</v>
      </c>
      <c r="C8" s="26">
        <v>4</v>
      </c>
      <c r="D8" s="26">
        <v>2</v>
      </c>
      <c r="E8" s="28">
        <v>2</v>
      </c>
      <c r="F8" s="1"/>
    </row>
    <row r="9" spans="1:27" ht="15.6" thickTop="1" thickBot="1">
      <c r="A9" s="26">
        <v>9</v>
      </c>
      <c r="B9" s="27" t="s">
        <v>34</v>
      </c>
      <c r="C9" s="26">
        <v>6.8</v>
      </c>
      <c r="D9" s="26">
        <v>4</v>
      </c>
      <c r="E9" s="28">
        <v>2</v>
      </c>
      <c r="F9" s="1"/>
    </row>
    <row r="10" spans="1:27" ht="15.6" thickTop="1" thickBot="1">
      <c r="A10" s="26">
        <v>10</v>
      </c>
      <c r="B10" s="27" t="s">
        <v>35</v>
      </c>
      <c r="C10" s="26">
        <v>7.9</v>
      </c>
      <c r="D10" s="26">
        <v>3</v>
      </c>
      <c r="E10" s="28">
        <v>3</v>
      </c>
      <c r="F10" s="1"/>
    </row>
    <row r="11" spans="1:27" ht="15.6" thickTop="1" thickBot="1">
      <c r="A11" s="26">
        <v>11</v>
      </c>
      <c r="B11" s="27" t="s">
        <v>36</v>
      </c>
      <c r="C11" s="26">
        <v>10</v>
      </c>
      <c r="D11" s="26">
        <v>2</v>
      </c>
      <c r="E11" s="28">
        <v>2</v>
      </c>
      <c r="F11" s="1"/>
    </row>
    <row r="12" spans="1:27" ht="15" thickTop="1">
      <c r="D12" t="s">
        <v>51</v>
      </c>
      <c r="E12" s="21" t="s">
        <v>50</v>
      </c>
      <c r="F12" s="30" t="s">
        <v>36</v>
      </c>
      <c r="Z12" s="31">
        <v>2</v>
      </c>
      <c r="AA12" s="31">
        <v>2</v>
      </c>
    </row>
    <row r="13" spans="1:27">
      <c r="F13" s="30" t="s">
        <v>35</v>
      </c>
      <c r="W13" s="31">
        <v>3</v>
      </c>
      <c r="X13" s="31">
        <v>3</v>
      </c>
      <c r="Y13" s="31">
        <v>3</v>
      </c>
    </row>
    <row r="14" spans="1:27">
      <c r="F14" s="30" t="s">
        <v>34</v>
      </c>
      <c r="U14" s="32">
        <v>4</v>
      </c>
      <c r="V14" s="32">
        <v>4</v>
      </c>
    </row>
    <row r="15" spans="1:27">
      <c r="F15" s="30" t="s">
        <v>33</v>
      </c>
      <c r="O15">
        <v>2</v>
      </c>
      <c r="P15">
        <v>2</v>
      </c>
    </row>
    <row r="16" spans="1:27">
      <c r="F16" s="30" t="s">
        <v>28</v>
      </c>
      <c r="T16" s="31">
        <v>1</v>
      </c>
      <c r="U16" s="31">
        <v>1</v>
      </c>
      <c r="V16" s="31">
        <v>1</v>
      </c>
    </row>
    <row r="17" spans="6:27">
      <c r="F17" s="30" t="s">
        <v>31</v>
      </c>
      <c r="T17" s="32">
        <v>4</v>
      </c>
    </row>
    <row r="18" spans="6:27">
      <c r="F18" s="30" t="s">
        <v>30</v>
      </c>
      <c r="Q18" s="31">
        <v>3</v>
      </c>
      <c r="R18" s="31">
        <v>3</v>
      </c>
      <c r="S18" s="31">
        <v>3</v>
      </c>
    </row>
    <row r="19" spans="6:27">
      <c r="F19" s="30" t="s">
        <v>32</v>
      </c>
      <c r="L19">
        <v>2</v>
      </c>
      <c r="M19">
        <v>2</v>
      </c>
      <c r="N19">
        <v>2</v>
      </c>
    </row>
    <row r="20" spans="6:27">
      <c r="F20" s="30" t="s">
        <v>27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</row>
    <row r="21" spans="6:27">
      <c r="F21" s="30" t="s">
        <v>29</v>
      </c>
      <c r="G21" s="31">
        <v>1</v>
      </c>
      <c r="H21" s="31">
        <v>1</v>
      </c>
      <c r="I21" s="31">
        <v>1</v>
      </c>
      <c r="J21" s="31">
        <v>1</v>
      </c>
      <c r="K21" s="31">
        <v>1</v>
      </c>
      <c r="L21" s="31">
        <v>1</v>
      </c>
      <c r="M21" s="31">
        <v>1</v>
      </c>
      <c r="N21" s="31">
        <v>1</v>
      </c>
      <c r="O21" s="31">
        <v>1</v>
      </c>
      <c r="P21" s="31">
        <v>1</v>
      </c>
    </row>
    <row r="22" spans="6:27">
      <c r="F22" s="30" t="s">
        <v>26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6:27">
      <c r="G23" s="29">
        <v>1</v>
      </c>
      <c r="H23" s="29">
        <v>2</v>
      </c>
      <c r="I23" s="29">
        <v>3</v>
      </c>
      <c r="J23" s="29">
        <v>4</v>
      </c>
      <c r="K23" s="29">
        <v>5</v>
      </c>
      <c r="L23" s="29">
        <v>6</v>
      </c>
      <c r="M23" s="29">
        <v>7</v>
      </c>
      <c r="N23" s="29">
        <v>8</v>
      </c>
      <c r="O23" s="29">
        <v>9</v>
      </c>
      <c r="P23" s="29">
        <v>10</v>
      </c>
      <c r="Q23" s="29">
        <v>11</v>
      </c>
      <c r="R23" s="29">
        <v>12</v>
      </c>
      <c r="S23" s="29">
        <v>13</v>
      </c>
      <c r="T23" s="29">
        <v>14</v>
      </c>
      <c r="U23" s="29">
        <v>15</v>
      </c>
      <c r="V23" s="29">
        <v>16</v>
      </c>
      <c r="W23" s="29">
        <v>17</v>
      </c>
      <c r="X23" s="29">
        <v>18</v>
      </c>
      <c r="Y23" s="29">
        <v>19</v>
      </c>
      <c r="Z23" s="29">
        <v>20</v>
      </c>
      <c r="AA23" s="29">
        <v>21</v>
      </c>
    </row>
    <row r="25" spans="6:27">
      <c r="F25" s="30" t="s">
        <v>52</v>
      </c>
      <c r="G25">
        <f>SUM(G12:G22)</f>
        <v>5</v>
      </c>
      <c r="H25">
        <f t="shared" ref="H25:AA25" si="0">SUM(H12:H22)</f>
        <v>5</v>
      </c>
      <c r="I25">
        <f t="shared" si="0"/>
        <v>5</v>
      </c>
      <c r="J25">
        <f t="shared" si="0"/>
        <v>5</v>
      </c>
      <c r="K25">
        <f t="shared" si="0"/>
        <v>5</v>
      </c>
      <c r="L25">
        <f t="shared" si="0"/>
        <v>5</v>
      </c>
      <c r="M25">
        <f t="shared" si="0"/>
        <v>5</v>
      </c>
      <c r="N25">
        <f t="shared" si="0"/>
        <v>5</v>
      </c>
      <c r="O25">
        <f t="shared" si="0"/>
        <v>3</v>
      </c>
      <c r="P25">
        <f t="shared" si="0"/>
        <v>3</v>
      </c>
      <c r="Q25">
        <f t="shared" si="0"/>
        <v>3</v>
      </c>
      <c r="R25">
        <f t="shared" si="0"/>
        <v>3</v>
      </c>
      <c r="S25">
        <f t="shared" si="0"/>
        <v>3</v>
      </c>
      <c r="T25">
        <f t="shared" si="0"/>
        <v>5</v>
      </c>
      <c r="U25">
        <f t="shared" si="0"/>
        <v>5</v>
      </c>
      <c r="V25">
        <f t="shared" si="0"/>
        <v>5</v>
      </c>
      <c r="W25">
        <f t="shared" si="0"/>
        <v>3</v>
      </c>
      <c r="X25">
        <f t="shared" si="0"/>
        <v>3</v>
      </c>
      <c r="Y25">
        <f t="shared" si="0"/>
        <v>3</v>
      </c>
      <c r="Z25">
        <f t="shared" si="0"/>
        <v>2</v>
      </c>
      <c r="AA25">
        <f t="shared" si="0"/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параметры</vt:lpstr>
      <vt:lpstr>график загрузки до оптимизации</vt:lpstr>
      <vt:lpstr>график загрузки после оптимизац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днс</dc:creator>
  <cp:lastModifiedBy>днс</cp:lastModifiedBy>
  <cp:lastPrinted>2015-09-17T11:31:19Z</cp:lastPrinted>
  <dcterms:created xsi:type="dcterms:W3CDTF">2015-09-10T19:41:00Z</dcterms:created>
  <dcterms:modified xsi:type="dcterms:W3CDTF">2022-10-31T09:28:11Z</dcterms:modified>
</cp:coreProperties>
</file>