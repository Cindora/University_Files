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Stud\Documents\ИТА-123\Ольховский\Lab3\"/>
    </mc:Choice>
  </mc:AlternateContent>
  <xr:revisionPtr revIDLastSave="0" documentId="13_ncr:1_{1D9D9641-C50D-4B1F-9F1A-B13E99119438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Лист1" sheetId="1" r:id="rId1"/>
    <sheet name="ДО" sheetId="2" r:id="rId2"/>
    <sheet name="ПОСЛЕ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9" i="3" l="1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D54" i="2"/>
  <c r="N13" i="1"/>
  <c r="L10" i="1"/>
  <c r="L9" i="1"/>
  <c r="L8" i="1"/>
  <c r="L7" i="1"/>
  <c r="L3" i="1"/>
  <c r="L2" i="1"/>
  <c r="I7" i="1"/>
  <c r="I8" i="1"/>
  <c r="I9" i="1"/>
  <c r="I11" i="1"/>
  <c r="I2" i="1"/>
  <c r="K12" i="1"/>
  <c r="I12" i="1" s="1"/>
  <c r="K11" i="1"/>
  <c r="K10" i="1"/>
  <c r="I10" i="1" s="1"/>
  <c r="K9" i="1"/>
  <c r="K8" i="1"/>
  <c r="K7" i="1"/>
  <c r="K6" i="1"/>
  <c r="I6" i="1" s="1"/>
  <c r="K5" i="1"/>
  <c r="I5" i="1" s="1"/>
  <c r="K4" i="1"/>
  <c r="I4" i="1" s="1"/>
  <c r="K3" i="1"/>
  <c r="I3" i="1" s="1"/>
  <c r="K2" i="1"/>
  <c r="J3" i="1"/>
  <c r="J4" i="1"/>
  <c r="J5" i="1"/>
  <c r="J6" i="1"/>
  <c r="J7" i="1"/>
  <c r="J8" i="1"/>
  <c r="J9" i="1"/>
  <c r="J10" i="1"/>
  <c r="J11" i="1"/>
  <c r="J12" i="1"/>
  <c r="J2" i="1"/>
  <c r="G12" i="1"/>
  <c r="G11" i="1"/>
  <c r="G10" i="1"/>
  <c r="G9" i="1"/>
  <c r="G8" i="1"/>
  <c r="G7" i="1"/>
  <c r="G6" i="1"/>
  <c r="G5" i="1"/>
  <c r="G4" i="1"/>
  <c r="G3" i="1"/>
  <c r="G2" i="1"/>
  <c r="F12" i="1"/>
  <c r="M12" i="1" s="1"/>
  <c r="N12" i="1" s="1"/>
  <c r="F11" i="1"/>
  <c r="M11" i="1" s="1"/>
  <c r="N11" i="1" s="1"/>
  <c r="F10" i="1"/>
  <c r="M10" i="1" s="1"/>
  <c r="N10" i="1" s="1"/>
  <c r="F9" i="1"/>
  <c r="F8" i="1"/>
  <c r="M8" i="1" s="1"/>
  <c r="N8" i="1" s="1"/>
  <c r="F7" i="1"/>
  <c r="F6" i="1"/>
  <c r="M6" i="1" s="1"/>
  <c r="N6" i="1" s="1"/>
  <c r="F4" i="1"/>
  <c r="M4" i="1" s="1"/>
  <c r="N4" i="1" s="1"/>
  <c r="F5" i="1"/>
  <c r="M5" i="1" s="1"/>
  <c r="N5" i="1" s="1"/>
  <c r="F3" i="1"/>
  <c r="M3" i="1" s="1"/>
  <c r="N3" i="1" s="1"/>
  <c r="F2" i="1"/>
  <c r="M2" i="1" s="1"/>
  <c r="N2" i="1" s="1"/>
  <c r="M7" i="1" l="1"/>
  <c r="N7" i="1" s="1"/>
  <c r="M9" i="1"/>
  <c r="N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днс</author>
  </authors>
  <commentList>
    <comment ref="F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04"/>
          </rPr>
          <t>Rn(i,j)=Tп(j)-Tp(i)-t(i,j)</t>
        </r>
      </text>
    </comment>
    <comment ref="G1" authorId="0" shapeId="0" xr:uid="{00000000-0006-0000-0000-000002000000}">
      <text>
        <r>
          <rPr>
            <b/>
            <sz val="8"/>
            <color indexed="81"/>
            <rFont val="Tahoma"/>
            <family val="2"/>
            <charset val="204"/>
          </rPr>
          <t>Rc(i,j)=Tp(j)-Tp(i)-t(i,j)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1" authorId="0" shapeId="0" xr:uid="{00000000-0006-0000-0000-000003000000}">
      <text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Tрн(i,j)=Tp(i)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  <charset val="204"/>
          </rPr>
          <t>Tпн(i,j)=Tпо(i,j)-Т(i,j)</t>
        </r>
        <r>
          <rPr>
            <b/>
            <sz val="9"/>
            <color indexed="81"/>
            <rFont val="Tahoma"/>
            <charset val="1"/>
          </rPr>
          <t xml:space="preserve">
</t>
        </r>
      </text>
    </comment>
    <comment ref="J1" authorId="0" shapeId="0" xr:uid="{00000000-0006-0000-0000-000005000000}">
      <text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Tpo(i,j)=Tpн(i,j)+T(i,j)</t>
        </r>
      </text>
    </comment>
    <comment ref="K1" authorId="0" shapeId="0" xr:uid="{00000000-0006-0000-0000-000006000000}">
      <text>
        <r>
          <rPr>
            <b/>
            <sz val="8"/>
            <color indexed="81"/>
            <rFont val="Tahoma"/>
            <family val="2"/>
            <charset val="204"/>
          </rPr>
          <t>Tпо(i,j)=Тп(j)</t>
        </r>
      </text>
    </comment>
    <comment ref="L1" authorId="0" shapeId="0" xr:uid="{00000000-0006-0000-0000-000007000000}">
      <text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t'кp - общая продолжительность отрезков пути, проходящего через работу (i, j), совпадающих с критическим путем</t>
        </r>
      </text>
    </comment>
    <comment ref="N1" authorId="0" shapeId="0" xr:uid="{00000000-0006-0000-0000-000008000000}">
      <text>
        <r>
          <rPr>
            <sz val="9"/>
            <color indexed="81"/>
            <rFont val="Tahoma"/>
            <family val="2"/>
            <charset val="204"/>
          </rPr>
          <t xml:space="preserve">
=ЕСЛИ(M2&gt;0,8;"напряженные";ЕСЛИ(И(M2&gt;=0,6;M2&lt;=0,8);"подкритические";"резервные"))</t>
        </r>
      </text>
    </comment>
  </commentList>
</comments>
</file>

<file path=xl/sharedStrings.xml><?xml version="1.0" encoding="utf-8"?>
<sst xmlns="http://schemas.openxmlformats.org/spreadsheetml/2006/main" count="141" uniqueCount="59">
  <si>
    <t>Название работы</t>
  </si>
  <si>
    <t>Продолжи-тельность работы</t>
  </si>
  <si>
    <t>Код работы</t>
  </si>
  <si>
    <t>1.</t>
  </si>
  <si>
    <t>Подготовка оборудования для обработки тестов.</t>
  </si>
  <si>
    <t>-</t>
  </si>
  <si>
    <t>2.</t>
  </si>
  <si>
    <t>Подбор экзаменационной комиссии</t>
  </si>
  <si>
    <t>3.</t>
  </si>
  <si>
    <t>Проведение семинаров для членов экзаменационной комиссии</t>
  </si>
  <si>
    <t>4.</t>
  </si>
  <si>
    <t>Подготовка вариантов экзаменационных тестов</t>
  </si>
  <si>
    <t>5.</t>
  </si>
  <si>
    <t>Подготовка документации для проверки работ</t>
  </si>
  <si>
    <t>6.</t>
  </si>
  <si>
    <t>Проведение экзамена.</t>
  </si>
  <si>
    <t>7.</t>
  </si>
  <si>
    <t>Монтаж оборудования</t>
  </si>
  <si>
    <t>8.</t>
  </si>
  <si>
    <t>Обучение технического персонала.</t>
  </si>
  <si>
    <t>9.</t>
  </si>
  <si>
    <t>Обработка входных документов</t>
  </si>
  <si>
    <t>10.</t>
  </si>
  <si>
    <t>Проверка экзаменационных работ</t>
  </si>
  <si>
    <t>11.</t>
  </si>
  <si>
    <t>Обработка результатов.</t>
  </si>
  <si>
    <t>1-2</t>
  </si>
  <si>
    <t>1-4</t>
  </si>
  <si>
    <t>4-7</t>
  </si>
  <si>
    <t>1-3</t>
  </si>
  <si>
    <t>3-4</t>
  </si>
  <si>
    <t>3-6</t>
  </si>
  <si>
    <t>2-5</t>
  </si>
  <si>
    <t>5-6</t>
  </si>
  <si>
    <t>6-7</t>
  </si>
  <si>
    <t>7-8</t>
  </si>
  <si>
    <t>8-9</t>
  </si>
  <si>
    <t>Rn полный резерв времени</t>
  </si>
  <si>
    <t>Rc свободный резерв времени</t>
  </si>
  <si>
    <t xml:space="preserve"> </t>
  </si>
  <si>
    <t>Раннее время начала работы</t>
  </si>
  <si>
    <t>Позднее время начала работы</t>
  </si>
  <si>
    <t>Раннее время конца работы</t>
  </si>
  <si>
    <t>Позднее время конца работы</t>
  </si>
  <si>
    <t>Коэффициент напряженности</t>
  </si>
  <si>
    <t>Tкр'</t>
  </si>
  <si>
    <t>№</t>
  </si>
  <si>
    <t>Опирается на работы</t>
  </si>
  <si>
    <t>Зоны напряженности</t>
  </si>
  <si>
    <t>Коэффициент сложности сетевого графика(Сетевые графики, имеющие коэффициент сложности от 1,0 до 1,5, являются простыми, от 1,51 до 2,0 – средней сложности, более 2,1 – сложными)=К_работ/К_событий</t>
  </si>
  <si>
    <t>Подготовка оборудования для обработки тестов</t>
  </si>
  <si>
    <t>Проведение экзамена</t>
  </si>
  <si>
    <t>Обучение технического персонала</t>
  </si>
  <si>
    <t>Обработка результатов</t>
  </si>
  <si>
    <t>Код</t>
  </si>
  <si>
    <t>Опирается</t>
  </si>
  <si>
    <t>Продолжительность</t>
  </si>
  <si>
    <t>Число исполнителей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</si>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</sst>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1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8"/>
      <color indexed="81"/>
      <name val="Tahoma"/>
      <family val="2"/>
      <charset val="204"/>
    </font>
    <font>
      <sz val="9"/>
      <color theme="3" tint="-0.249977111117893"/>
      <name val="Times New Roman"/>
      <family val="1"/>
      <charset val="204"/>
    </font>
    <font>
      <sz val="9"/>
      <color theme="3" tint="-0.499984740745262"/>
      <name val="Times New Roman"/>
      <family val="1"/>
      <charset val="204"/>
    </font>
    <font>
      <sz val="9"/>
      <color rgb="FFC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Dashed">
        <color theme="3" tint="0.39994506668294322"/>
      </left>
      <right style="mediumDashed">
        <color theme="3" tint="0.39994506668294322"/>
      </right>
      <top style="mediumDashed">
        <color theme="3" tint="0.39994506668294322"/>
      </top>
      <bottom style="mediumDashed">
        <color theme="3" tint="0.39994506668294322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0" fontId="8" fillId="2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/>
    <xf numFmtId="2" fontId="5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49" fontId="4" fillId="5" borderId="1" xfId="0" applyNumberFormat="1" applyFont="1" applyFill="1" applyBorder="1" applyAlignment="1">
      <alignment horizontal="center" vertical="top" wrapText="1"/>
    </xf>
    <xf numFmtId="0" fontId="5" fillId="5" borderId="1" xfId="0" applyFont="1" applyFill="1" applyBorder="1"/>
    <xf numFmtId="1" fontId="5" fillId="5" borderId="1" xfId="0" applyNumberFormat="1" applyFont="1" applyFill="1" applyBorder="1"/>
    <xf numFmtId="164" fontId="9" fillId="0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top" wrapText="1"/>
    </xf>
    <xf numFmtId="49" fontId="7" fillId="3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49" fontId="0" fillId="0" borderId="4" xfId="0" applyNumberFormat="1" applyBorder="1"/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8" borderId="4" xfId="0" applyFill="1" applyBorder="1"/>
    <xf numFmtId="49" fontId="0" fillId="9" borderId="0" xfId="0" applyNumberFormat="1" applyFill="1"/>
    <xf numFmtId="0" fontId="0" fillId="9" borderId="0" xfId="0" applyFill="1"/>
    <xf numFmtId="0" fontId="10" fillId="0" borderId="0" xfId="0" applyFont="1"/>
    <xf numFmtId="0" fontId="10" fillId="4" borderId="0" xfId="0" applyFont="1" applyFill="1"/>
    <xf numFmtId="0" fontId="10" fillId="10" borderId="0" xfId="0" applyFont="1" applyFill="1"/>
    <xf numFmtId="0" fontId="10" fillId="11" borderId="0" xfId="0" applyFont="1" applyFill="1"/>
    <xf numFmtId="0" fontId="10" fillId="12" borderId="0" xfId="0" applyFont="1" applyFill="1"/>
    <xf numFmtId="0" fontId="10" fillId="9" borderId="0" xfId="0" applyFont="1" applyFill="1"/>
    <xf numFmtId="0" fontId="10" fillId="13" borderId="0" xfId="0" applyFont="1" applyFill="1"/>
    <xf numFmtId="0" fontId="0" fillId="14" borderId="0" xfId="0" applyFill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загрузки до оптимизации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ДО!$D$54:$X$54</c:f>
              <c:numCache>
                <c:formatCode>General</c:formatCode>
                <c:ptCount val="2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3-4720-B39C-003BB6C2C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38762880"/>
        <c:axId val="1035640672"/>
      </c:barChart>
      <c:catAx>
        <c:axId val="103876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5640672"/>
        <c:crosses val="autoZero"/>
        <c:auto val="1"/>
        <c:lblAlgn val="ctr"/>
        <c:lblOffset val="100"/>
        <c:noMultiLvlLbl val="0"/>
      </c:catAx>
      <c:valAx>
        <c:axId val="10356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7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ДО!$D$54:$X$54</c:f>
              <c:numCache>
                <c:formatCode>General</c:formatCode>
                <c:ptCount val="2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A-4582-AECD-A58B1839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62662272"/>
        <c:axId val="451678352"/>
      </c:barChart>
      <c:catAx>
        <c:axId val="46266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678352"/>
        <c:crosses val="autoZero"/>
        <c:auto val="1"/>
        <c:lblAlgn val="ctr"/>
        <c:lblOffset val="100"/>
        <c:noMultiLvlLbl val="0"/>
      </c:catAx>
      <c:valAx>
        <c:axId val="4516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66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загрузки до оптимизации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ДО!$D$54:$X$54</c:f>
              <c:numCache>
                <c:formatCode>General</c:formatCode>
                <c:ptCount val="2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8-40D2-8405-1A6F47532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38762880"/>
        <c:axId val="1035640672"/>
      </c:barChart>
      <c:catAx>
        <c:axId val="103876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5640672"/>
        <c:crosses val="autoZero"/>
        <c:auto val="1"/>
        <c:lblAlgn val="ctr"/>
        <c:lblOffset val="100"/>
        <c:noMultiLvlLbl val="0"/>
      </c:catAx>
      <c:valAx>
        <c:axId val="10356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7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После</a:t>
            </a:r>
            <a:r>
              <a:rPr lang="ru-RU" baseline="0"/>
              <a:t> оптимизации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ПОСЛЕ!$D$39:$X$39</c:f>
              <c:numCache>
                <c:formatCode>General</c:formatCode>
                <c:ptCount val="2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D-4140-980C-C03632D63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88833968"/>
        <c:axId val="1361543872"/>
      </c:barChart>
      <c:catAx>
        <c:axId val="1288833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543872"/>
        <c:crosses val="autoZero"/>
        <c:auto val="1"/>
        <c:lblAlgn val="ctr"/>
        <c:lblOffset val="100"/>
        <c:noMultiLvlLbl val="0"/>
      </c:catAx>
      <c:valAx>
        <c:axId val="13615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883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495300</xdr:colOff>
          <xdr:row>0</xdr:row>
          <xdr:rowOff>447675</xdr:rowOff>
        </xdr:from>
        <xdr:to>
          <xdr:col>12</xdr:col>
          <xdr:colOff>895350</xdr:colOff>
          <xdr:row>0</xdr:row>
          <xdr:rowOff>1304925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15</xdr:col>
      <xdr:colOff>123825</xdr:colOff>
      <xdr:row>5</xdr:row>
      <xdr:rowOff>161925</xdr:rowOff>
    </xdr:from>
    <xdr:to>
      <xdr:col>23</xdr:col>
      <xdr:colOff>86400</xdr:colOff>
      <xdr:row>11</xdr:row>
      <xdr:rowOff>238455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72875" y="3286125"/>
          <a:ext cx="4839375" cy="2362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0</xdr:row>
      <xdr:rowOff>0</xdr:rowOff>
    </xdr:from>
    <xdr:to>
      <xdr:col>16</xdr:col>
      <xdr:colOff>324729</xdr:colOff>
      <xdr:row>18</xdr:row>
      <xdr:rowOff>10074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0775" y="0"/>
          <a:ext cx="6296904" cy="3934374"/>
        </a:xfrm>
        <a:prstGeom prst="rect">
          <a:avLst/>
        </a:prstGeom>
      </xdr:spPr>
    </xdr:pic>
    <xdr:clientData/>
  </xdr:twoCellAnchor>
  <xdr:twoCellAnchor editAs="oneCell">
    <xdr:from>
      <xdr:col>12</xdr:col>
      <xdr:colOff>88900</xdr:colOff>
      <xdr:row>0</xdr:row>
      <xdr:rowOff>63500</xdr:rowOff>
    </xdr:from>
    <xdr:to>
      <xdr:col>20</xdr:col>
      <xdr:colOff>51475</xdr:colOff>
      <xdr:row>10</xdr:row>
      <xdr:rowOff>44780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4300" y="63500"/>
          <a:ext cx="4839375" cy="2438730"/>
        </a:xfrm>
        <a:prstGeom prst="rect">
          <a:avLst/>
        </a:prstGeom>
      </xdr:spPr>
    </xdr:pic>
    <xdr:clientData/>
  </xdr:twoCellAnchor>
  <xdr:twoCellAnchor>
    <xdr:from>
      <xdr:col>5</xdr:col>
      <xdr:colOff>323850</xdr:colOff>
      <xdr:row>55</xdr:row>
      <xdr:rowOff>109537</xdr:rowOff>
    </xdr:from>
    <xdr:to>
      <xdr:col>13</xdr:col>
      <xdr:colOff>9525</xdr:colOff>
      <xdr:row>69</xdr:row>
      <xdr:rowOff>185737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124649</xdr:colOff>
      <xdr:row>56</xdr:row>
      <xdr:rowOff>66951</xdr:rowOff>
    </xdr:from>
    <xdr:to>
      <xdr:col>23</xdr:col>
      <xdr:colOff>219507</xdr:colOff>
      <xdr:row>71</xdr:row>
      <xdr:rowOff>109753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142875</xdr:colOff>
      <xdr:row>0</xdr:row>
      <xdr:rowOff>0</xdr:rowOff>
    </xdr:from>
    <xdr:to>
      <xdr:col>25</xdr:col>
      <xdr:colOff>343779</xdr:colOff>
      <xdr:row>19</xdr:row>
      <xdr:rowOff>124374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0"/>
          <a:ext cx="6296904" cy="4429674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0</xdr:row>
      <xdr:rowOff>76200</xdr:rowOff>
    </xdr:from>
    <xdr:to>
      <xdr:col>14</xdr:col>
      <xdr:colOff>67350</xdr:colOff>
      <xdr:row>11</xdr:row>
      <xdr:rowOff>162255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0" y="76200"/>
          <a:ext cx="4839375" cy="2857830"/>
        </a:xfrm>
        <a:prstGeom prst="rect">
          <a:avLst/>
        </a:prstGeom>
      </xdr:spPr>
    </xdr:pic>
    <xdr:clientData/>
  </xdr:twoCellAnchor>
  <xdr:twoCellAnchor>
    <xdr:from>
      <xdr:col>0</xdr:col>
      <xdr:colOff>428625</xdr:colOff>
      <xdr:row>25</xdr:row>
      <xdr:rowOff>157162</xdr:rowOff>
    </xdr:from>
    <xdr:to>
      <xdr:col>1</xdr:col>
      <xdr:colOff>3019425</xdr:colOff>
      <xdr:row>34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28575</xdr:colOff>
      <xdr:row>15</xdr:row>
      <xdr:rowOff>4762</xdr:rowOff>
    </xdr:from>
    <xdr:to>
      <xdr:col>11</xdr:col>
      <xdr:colOff>390525</xdr:colOff>
      <xdr:row>24</xdr:row>
      <xdr:rowOff>95250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4%20&#1056;&#1072;&#1089;&#1095;&#1105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1">
          <cell r="D21">
            <v>1</v>
          </cell>
          <cell r="E21">
            <v>2</v>
          </cell>
          <cell r="F21">
            <v>3</v>
          </cell>
          <cell r="G21">
            <v>4</v>
          </cell>
          <cell r="H21">
            <v>5</v>
          </cell>
          <cell r="I21">
            <v>6</v>
          </cell>
          <cell r="J21">
            <v>7</v>
          </cell>
          <cell r="K21">
            <v>8</v>
          </cell>
          <cell r="L21">
            <v>9</v>
          </cell>
          <cell r="M21">
            <v>10</v>
          </cell>
          <cell r="N21">
            <v>11</v>
          </cell>
          <cell r="O21">
            <v>12</v>
          </cell>
          <cell r="P21">
            <v>13</v>
          </cell>
          <cell r="Q21">
            <v>14</v>
          </cell>
          <cell r="R21">
            <v>15</v>
          </cell>
          <cell r="S21">
            <v>16</v>
          </cell>
          <cell r="T21">
            <v>17</v>
          </cell>
          <cell r="U21">
            <v>18</v>
          </cell>
          <cell r="V21">
            <v>19</v>
          </cell>
          <cell r="W21">
            <v>20</v>
          </cell>
          <cell r="X21">
            <v>21</v>
          </cell>
          <cell r="Y21">
            <v>22</v>
          </cell>
          <cell r="Z21">
            <v>23</v>
          </cell>
          <cell r="AA21">
            <v>24</v>
          </cell>
          <cell r="AB21">
            <v>25</v>
          </cell>
          <cell r="AC21">
            <v>26</v>
          </cell>
          <cell r="AD21">
            <v>27</v>
          </cell>
          <cell r="AE21">
            <v>28</v>
          </cell>
          <cell r="AF21">
            <v>29</v>
          </cell>
          <cell r="AG21">
            <v>30</v>
          </cell>
        </row>
        <row r="23">
          <cell r="D23">
            <v>7</v>
          </cell>
          <cell r="E23">
            <v>7</v>
          </cell>
          <cell r="F23">
            <v>7</v>
          </cell>
          <cell r="G23">
            <v>7</v>
          </cell>
          <cell r="H23">
            <v>7</v>
          </cell>
          <cell r="I23">
            <v>7</v>
          </cell>
          <cell r="J23">
            <v>2</v>
          </cell>
          <cell r="K23">
            <v>4</v>
          </cell>
          <cell r="L23">
            <v>8</v>
          </cell>
          <cell r="M23">
            <v>8</v>
          </cell>
          <cell r="N23">
            <v>10</v>
          </cell>
          <cell r="O23">
            <v>7</v>
          </cell>
          <cell r="P23">
            <v>8</v>
          </cell>
          <cell r="Q23">
            <v>8</v>
          </cell>
          <cell r="R23">
            <v>8</v>
          </cell>
          <cell r="S23">
            <v>6</v>
          </cell>
          <cell r="T23">
            <v>6</v>
          </cell>
          <cell r="U23">
            <v>5</v>
          </cell>
          <cell r="V23">
            <v>5</v>
          </cell>
          <cell r="W23">
            <v>4</v>
          </cell>
          <cell r="X23">
            <v>3</v>
          </cell>
          <cell r="Y23">
            <v>3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6</v>
          </cell>
          <cell r="AF23">
            <v>6</v>
          </cell>
          <cell r="AG2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zoomScaleNormal="100" workbookViewId="0">
      <selection activeCell="Q7" sqref="Q7"/>
    </sheetView>
  </sheetViews>
  <sheetFormatPr defaultRowHeight="15" x14ac:dyDescent="0.25"/>
  <cols>
    <col min="1" max="1" width="5.28515625" customWidth="1"/>
    <col min="2" max="2" width="17.7109375" customWidth="1"/>
    <col min="3" max="4" width="11.5703125" customWidth="1"/>
    <col min="5" max="5" width="11.5703125" style="1" customWidth="1"/>
    <col min="6" max="13" width="11.5703125" customWidth="1"/>
    <col min="14" max="14" width="12.28515625" customWidth="1"/>
  </cols>
  <sheetData>
    <row r="1" spans="1:14" ht="84" customHeight="1" thickTop="1" thickBot="1" x14ac:dyDescent="0.3">
      <c r="A1" s="19" t="s">
        <v>46</v>
      </c>
      <c r="B1" s="19" t="s">
        <v>0</v>
      </c>
      <c r="C1" s="19" t="s">
        <v>47</v>
      </c>
      <c r="D1" s="19" t="s">
        <v>1</v>
      </c>
      <c r="E1" s="20" t="s">
        <v>2</v>
      </c>
      <c r="F1" s="2" t="s">
        <v>37</v>
      </c>
      <c r="G1" s="2" t="s">
        <v>38</v>
      </c>
      <c r="H1" s="3" t="s">
        <v>40</v>
      </c>
      <c r="I1" s="3" t="s">
        <v>41</v>
      </c>
      <c r="J1" s="3" t="s">
        <v>42</v>
      </c>
      <c r="K1" s="3" t="s">
        <v>43</v>
      </c>
      <c r="L1" s="4" t="s">
        <v>45</v>
      </c>
      <c r="M1" s="4" t="s">
        <v>44</v>
      </c>
      <c r="N1" s="5" t="s">
        <v>48</v>
      </c>
    </row>
    <row r="2" spans="1:14" ht="37.5" thickTop="1" thickBot="1" x14ac:dyDescent="0.3">
      <c r="A2" s="6" t="s">
        <v>3</v>
      </c>
      <c r="B2" s="7" t="s">
        <v>4</v>
      </c>
      <c r="C2" s="8" t="s">
        <v>5</v>
      </c>
      <c r="D2" s="8">
        <v>5</v>
      </c>
      <c r="E2" s="9" t="s">
        <v>26</v>
      </c>
      <c r="F2" s="10">
        <f>9-0-D2</f>
        <v>4</v>
      </c>
      <c r="G2" s="10">
        <f>5-0-D2</f>
        <v>0</v>
      </c>
      <c r="H2" s="10">
        <v>0</v>
      </c>
      <c r="I2" s="10">
        <f>K2-D2</f>
        <v>4</v>
      </c>
      <c r="J2" s="10">
        <f>H2+D2</f>
        <v>5</v>
      </c>
      <c r="K2" s="10">
        <f>9</f>
        <v>9</v>
      </c>
      <c r="L2" s="10">
        <f>3+2</f>
        <v>5</v>
      </c>
      <c r="M2" s="11">
        <f>1-F2/(21-L2)</f>
        <v>0.75</v>
      </c>
      <c r="N2" s="10" t="str">
        <f t="shared" ref="N2:N12" si="0">IF(M2&gt;0.8,"напряженные",IF(AND(M2&gt;=0.6,M2&lt;=0.8),"подкритические","резервные"))</f>
        <v>подкритические</v>
      </c>
    </row>
    <row r="3" spans="1:14" ht="37.5" thickTop="1" thickBot="1" x14ac:dyDescent="0.3">
      <c r="A3" s="6" t="s">
        <v>6</v>
      </c>
      <c r="B3" s="7" t="s">
        <v>7</v>
      </c>
      <c r="C3" s="8" t="s">
        <v>5</v>
      </c>
      <c r="D3" s="8">
        <v>8</v>
      </c>
      <c r="E3" s="9" t="s">
        <v>27</v>
      </c>
      <c r="F3" s="10">
        <f>13-0-D3</f>
        <v>5</v>
      </c>
      <c r="G3" s="10">
        <f>13-0-D3</f>
        <v>5</v>
      </c>
      <c r="H3" s="10">
        <v>0</v>
      </c>
      <c r="I3" s="10">
        <f t="shared" ref="I3:I12" si="1">K3-D3</f>
        <v>5</v>
      </c>
      <c r="J3" s="10">
        <f t="shared" ref="J3:J12" si="2">H3+D3</f>
        <v>8</v>
      </c>
      <c r="K3" s="10">
        <f>13</f>
        <v>13</v>
      </c>
      <c r="L3" s="10">
        <f>3+3+2</f>
        <v>8</v>
      </c>
      <c r="M3" s="11">
        <f>1-F3/(21-L3)</f>
        <v>0.61538461538461542</v>
      </c>
      <c r="N3" s="10" t="str">
        <f t="shared" si="0"/>
        <v>подкритические</v>
      </c>
    </row>
    <row r="4" spans="1:14" ht="49.5" thickTop="1" thickBot="1" x14ac:dyDescent="0.3">
      <c r="A4" s="12" t="s">
        <v>8</v>
      </c>
      <c r="B4" s="13" t="s">
        <v>9</v>
      </c>
      <c r="C4" s="14">
        <v>2.5</v>
      </c>
      <c r="D4" s="14">
        <v>3</v>
      </c>
      <c r="E4" s="15" t="s">
        <v>28</v>
      </c>
      <c r="F4" s="16">
        <f>16-13-D4</f>
        <v>0</v>
      </c>
      <c r="G4" s="16">
        <f>16-13-3</f>
        <v>0</v>
      </c>
      <c r="H4" s="16">
        <v>13</v>
      </c>
      <c r="I4" s="16">
        <f t="shared" si="1"/>
        <v>13</v>
      </c>
      <c r="J4" s="16">
        <f t="shared" si="2"/>
        <v>16</v>
      </c>
      <c r="K4" s="16">
        <f>16</f>
        <v>16</v>
      </c>
      <c r="L4" s="16"/>
      <c r="M4" s="11">
        <f t="shared" ref="M4:M10" si="3">1-F4/(21-L4)</f>
        <v>1</v>
      </c>
      <c r="N4" s="10" t="str">
        <f t="shared" si="0"/>
        <v>напряженные</v>
      </c>
    </row>
    <row r="5" spans="1:14" ht="37.5" thickTop="1" thickBot="1" x14ac:dyDescent="0.3">
      <c r="A5" s="12" t="s">
        <v>10</v>
      </c>
      <c r="B5" s="13" t="s">
        <v>11</v>
      </c>
      <c r="C5" s="14" t="s">
        <v>5</v>
      </c>
      <c r="D5" s="14">
        <v>10</v>
      </c>
      <c r="E5" s="15" t="s">
        <v>29</v>
      </c>
      <c r="F5" s="16">
        <f>10-0-10</f>
        <v>0</v>
      </c>
      <c r="G5" s="16">
        <f>10-0-D5</f>
        <v>0</v>
      </c>
      <c r="H5" s="16">
        <v>0</v>
      </c>
      <c r="I5" s="16">
        <f t="shared" si="1"/>
        <v>0</v>
      </c>
      <c r="J5" s="16">
        <f t="shared" si="2"/>
        <v>10</v>
      </c>
      <c r="K5" s="16">
        <f>10</f>
        <v>10</v>
      </c>
      <c r="L5" s="16"/>
      <c r="M5" s="11">
        <f t="shared" si="3"/>
        <v>1</v>
      </c>
      <c r="N5" s="10" t="str">
        <f t="shared" si="0"/>
        <v>напряженные</v>
      </c>
    </row>
    <row r="6" spans="1:14" ht="37.5" thickTop="1" thickBot="1" x14ac:dyDescent="0.3">
      <c r="A6" s="12" t="s">
        <v>12</v>
      </c>
      <c r="B6" s="13" t="s">
        <v>13</v>
      </c>
      <c r="C6" s="14">
        <v>4</v>
      </c>
      <c r="D6" s="14">
        <v>3</v>
      </c>
      <c r="E6" s="15" t="s">
        <v>30</v>
      </c>
      <c r="F6" s="17">
        <f>13-10-D6</f>
        <v>0</v>
      </c>
      <c r="G6" s="16">
        <f>13-10-D6</f>
        <v>0</v>
      </c>
      <c r="H6" s="16">
        <v>10</v>
      </c>
      <c r="I6" s="16">
        <f t="shared" si="1"/>
        <v>10</v>
      </c>
      <c r="J6" s="16">
        <f t="shared" si="2"/>
        <v>13</v>
      </c>
      <c r="K6" s="16">
        <f>13</f>
        <v>13</v>
      </c>
      <c r="L6" s="16"/>
      <c r="M6" s="11">
        <f t="shared" si="3"/>
        <v>1</v>
      </c>
      <c r="N6" s="10" t="str">
        <f t="shared" si="0"/>
        <v>напряженные</v>
      </c>
    </row>
    <row r="7" spans="1:14" ht="16.5" thickTop="1" thickBot="1" x14ac:dyDescent="0.3">
      <c r="A7" s="6" t="s">
        <v>14</v>
      </c>
      <c r="B7" s="7" t="s">
        <v>15</v>
      </c>
      <c r="C7" s="8">
        <v>4</v>
      </c>
      <c r="D7" s="8">
        <v>1</v>
      </c>
      <c r="E7" s="9" t="s">
        <v>31</v>
      </c>
      <c r="F7" s="10">
        <f>14-10-D7</f>
        <v>3</v>
      </c>
      <c r="G7" s="10">
        <f>11-10-D7</f>
        <v>0</v>
      </c>
      <c r="H7" s="10">
        <v>10</v>
      </c>
      <c r="I7" s="10">
        <f t="shared" si="1"/>
        <v>13</v>
      </c>
      <c r="J7" s="10">
        <f t="shared" si="2"/>
        <v>11</v>
      </c>
      <c r="K7" s="10">
        <f>14</f>
        <v>14</v>
      </c>
      <c r="L7" s="10">
        <f>10+3+2</f>
        <v>15</v>
      </c>
      <c r="M7" s="11">
        <f t="shared" si="3"/>
        <v>0.5</v>
      </c>
      <c r="N7" s="10" t="str">
        <f t="shared" si="0"/>
        <v>резервные</v>
      </c>
    </row>
    <row r="8" spans="1:14" ht="25.5" thickTop="1" thickBot="1" x14ac:dyDescent="0.3">
      <c r="A8" s="6" t="s">
        <v>16</v>
      </c>
      <c r="B8" s="7" t="s">
        <v>17</v>
      </c>
      <c r="C8" s="8">
        <v>1</v>
      </c>
      <c r="D8" s="8">
        <v>3</v>
      </c>
      <c r="E8" s="9" t="s">
        <v>32</v>
      </c>
      <c r="F8" s="10">
        <f>12-5-D8</f>
        <v>4</v>
      </c>
      <c r="G8" s="10">
        <f>8-5-D8</f>
        <v>0</v>
      </c>
      <c r="H8" s="10">
        <v>5</v>
      </c>
      <c r="I8" s="10">
        <f t="shared" si="1"/>
        <v>9</v>
      </c>
      <c r="J8" s="10">
        <f t="shared" si="2"/>
        <v>8</v>
      </c>
      <c r="K8" s="10">
        <f>12</f>
        <v>12</v>
      </c>
      <c r="L8" s="10">
        <f>3+2</f>
        <v>5</v>
      </c>
      <c r="M8" s="11">
        <f t="shared" si="3"/>
        <v>0.75</v>
      </c>
      <c r="N8" s="10" t="str">
        <f t="shared" si="0"/>
        <v>подкритические</v>
      </c>
    </row>
    <row r="9" spans="1:14" ht="37.5" thickTop="1" thickBot="1" x14ac:dyDescent="0.3">
      <c r="A9" s="6" t="s">
        <v>18</v>
      </c>
      <c r="B9" s="7" t="s">
        <v>19</v>
      </c>
      <c r="C9" s="8">
        <v>7</v>
      </c>
      <c r="D9" s="8">
        <v>2</v>
      </c>
      <c r="E9" s="9" t="s">
        <v>33</v>
      </c>
      <c r="F9" s="10">
        <f>14-8-D9</f>
        <v>4</v>
      </c>
      <c r="G9" s="10">
        <f>11-8-D9</f>
        <v>1</v>
      </c>
      <c r="H9" s="10">
        <v>8</v>
      </c>
      <c r="I9" s="10">
        <f t="shared" si="1"/>
        <v>12</v>
      </c>
      <c r="J9" s="10">
        <f t="shared" si="2"/>
        <v>10</v>
      </c>
      <c r="K9" s="10">
        <f>14</f>
        <v>14</v>
      </c>
      <c r="L9" s="10">
        <f>3+2</f>
        <v>5</v>
      </c>
      <c r="M9" s="11">
        <f t="shared" si="3"/>
        <v>0.75</v>
      </c>
      <c r="N9" s="10" t="str">
        <f t="shared" si="0"/>
        <v>подкритические</v>
      </c>
    </row>
    <row r="10" spans="1:14" ht="25.5" thickTop="1" thickBot="1" x14ac:dyDescent="0.3">
      <c r="A10" s="6" t="s">
        <v>20</v>
      </c>
      <c r="B10" s="7" t="s">
        <v>21</v>
      </c>
      <c r="C10" s="8">
        <v>6.8</v>
      </c>
      <c r="D10" s="8">
        <v>2</v>
      </c>
      <c r="E10" s="9" t="s">
        <v>34</v>
      </c>
      <c r="F10" s="10">
        <f>16-11-D10</f>
        <v>3</v>
      </c>
      <c r="G10" s="10">
        <f>16-11-D10</f>
        <v>3</v>
      </c>
      <c r="H10" s="10">
        <v>11</v>
      </c>
      <c r="I10" s="10">
        <f t="shared" si="1"/>
        <v>14</v>
      </c>
      <c r="J10" s="10">
        <f t="shared" si="2"/>
        <v>13</v>
      </c>
      <c r="K10" s="10">
        <f>16</f>
        <v>16</v>
      </c>
      <c r="L10" s="10">
        <f>10+3+2</f>
        <v>15</v>
      </c>
      <c r="M10" s="11">
        <f t="shared" si="3"/>
        <v>0.5</v>
      </c>
      <c r="N10" s="10" t="str">
        <f t="shared" si="0"/>
        <v>резервные</v>
      </c>
    </row>
    <row r="11" spans="1:14" ht="37.5" thickTop="1" thickBot="1" x14ac:dyDescent="0.3">
      <c r="A11" s="12" t="s">
        <v>22</v>
      </c>
      <c r="B11" s="13" t="s">
        <v>23</v>
      </c>
      <c r="C11" s="14">
        <v>3.9</v>
      </c>
      <c r="D11" s="14">
        <v>3</v>
      </c>
      <c r="E11" s="15" t="s">
        <v>35</v>
      </c>
      <c r="F11" s="16">
        <f>19-16-D11</f>
        <v>0</v>
      </c>
      <c r="G11" s="16">
        <f>19-16-D11</f>
        <v>0</v>
      </c>
      <c r="H11" s="16">
        <v>16</v>
      </c>
      <c r="I11" s="16">
        <f t="shared" si="1"/>
        <v>16</v>
      </c>
      <c r="J11" s="16">
        <f t="shared" si="2"/>
        <v>19</v>
      </c>
      <c r="K11" s="16">
        <f>19</f>
        <v>19</v>
      </c>
      <c r="L11" s="16"/>
      <c r="M11" s="11">
        <f>1-F11/(21-L11)</f>
        <v>1</v>
      </c>
      <c r="N11" s="10" t="str">
        <f t="shared" si="0"/>
        <v>напряженные</v>
      </c>
    </row>
    <row r="12" spans="1:14" ht="25.5" thickTop="1" thickBot="1" x14ac:dyDescent="0.3">
      <c r="A12" s="12" t="s">
        <v>24</v>
      </c>
      <c r="B12" s="13" t="s">
        <v>25</v>
      </c>
      <c r="C12" s="14">
        <v>10</v>
      </c>
      <c r="D12" s="14">
        <v>2</v>
      </c>
      <c r="E12" s="15" t="s">
        <v>36</v>
      </c>
      <c r="F12" s="16">
        <f>21-19-D12</f>
        <v>0</v>
      </c>
      <c r="G12" s="16">
        <f>21-19-2</f>
        <v>0</v>
      </c>
      <c r="H12" s="16">
        <v>19</v>
      </c>
      <c r="I12" s="16">
        <f t="shared" si="1"/>
        <v>19</v>
      </c>
      <c r="J12" s="16">
        <f t="shared" si="2"/>
        <v>21</v>
      </c>
      <c r="K12" s="16">
        <f>21</f>
        <v>21</v>
      </c>
      <c r="L12" s="16"/>
      <c r="M12" s="11">
        <f>1-F12/(21-L12)</f>
        <v>1</v>
      </c>
      <c r="N12" s="10" t="str">
        <f t="shared" si="0"/>
        <v>напряженные</v>
      </c>
    </row>
    <row r="13" spans="1:14" ht="16.5" thickTop="1" thickBot="1" x14ac:dyDescent="0.3">
      <c r="A13" s="39" t="s">
        <v>49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18">
        <f>11/9</f>
        <v>1.2222222222222223</v>
      </c>
    </row>
    <row r="14" spans="1:14" ht="15.75" thickTop="1" x14ac:dyDescent="0.25"/>
    <row r="20" spans="6:6" x14ac:dyDescent="0.25">
      <c r="F20" t="s">
        <v>39</v>
      </c>
    </row>
  </sheetData>
  <mergeCells count="1">
    <mergeCell ref="A13:M13"/>
  </mergeCells>
  <conditionalFormatting sqref="M2:M11">
    <cfRule type="cellIs" dxfId="1" priority="1" operator="between">
      <formula>0.6</formula>
      <formula>0.8</formula>
    </cfRule>
    <cfRule type="cellIs" dxfId="0" priority="2" operator="greaterThan">
      <formula>0.8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1034" r:id="rId4">
          <objectPr defaultSize="0" autoPict="0" r:id="rId5">
            <anchor moveWithCells="1">
              <from>
                <xdr:col>11</xdr:col>
                <xdr:colOff>495300</xdr:colOff>
                <xdr:row>0</xdr:row>
                <xdr:rowOff>447675</xdr:rowOff>
              </from>
              <to>
                <xdr:col>12</xdr:col>
                <xdr:colOff>895350</xdr:colOff>
                <xdr:row>0</xdr:row>
                <xdr:rowOff>1304925</xdr:rowOff>
              </to>
            </anchor>
          </objectPr>
        </oleObject>
      </mc:Choice>
      <mc:Fallback>
        <oleObject progId="Equation.3" shapeId="1034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opLeftCell="C39" zoomScale="81" zoomScaleNormal="81" workbookViewId="0">
      <selection activeCell="P58" sqref="P58"/>
    </sheetView>
  </sheetViews>
  <sheetFormatPr defaultRowHeight="15" x14ac:dyDescent="0.25"/>
  <cols>
    <col min="1" max="1" width="9.140625" style="21"/>
    <col min="2" max="2" width="50.85546875" customWidth="1"/>
    <col min="4" max="4" width="7.28515625" customWidth="1"/>
    <col min="5" max="5" width="8.140625" customWidth="1"/>
    <col min="6" max="6" width="9.28515625" customWidth="1"/>
  </cols>
  <sheetData>
    <row r="1" spans="1:6" ht="45.75" thickBot="1" x14ac:dyDescent="0.3">
      <c r="A1" s="26"/>
      <c r="B1" s="26" t="s">
        <v>0</v>
      </c>
      <c r="C1" s="26" t="s">
        <v>54</v>
      </c>
      <c r="D1" s="26" t="s">
        <v>55</v>
      </c>
      <c r="E1" s="26" t="s">
        <v>56</v>
      </c>
      <c r="F1" s="27" t="s">
        <v>57</v>
      </c>
    </row>
    <row r="2" spans="1:6" ht="15.75" thickBot="1" x14ac:dyDescent="0.3">
      <c r="A2" s="22">
        <v>1</v>
      </c>
      <c r="B2" s="23" t="s">
        <v>50</v>
      </c>
      <c r="C2" s="24" t="s">
        <v>26</v>
      </c>
      <c r="D2" s="23"/>
      <c r="E2" s="28">
        <v>5</v>
      </c>
      <c r="F2" s="23">
        <v>2</v>
      </c>
    </row>
    <row r="3" spans="1:6" ht="15.75" thickBot="1" x14ac:dyDescent="0.3">
      <c r="A3" s="22">
        <v>2</v>
      </c>
      <c r="B3" s="25" t="s">
        <v>11</v>
      </c>
      <c r="C3" s="24" t="s">
        <v>29</v>
      </c>
      <c r="D3" s="23"/>
      <c r="E3" s="28">
        <v>10</v>
      </c>
      <c r="F3" s="23">
        <v>3</v>
      </c>
    </row>
    <row r="4" spans="1:6" ht="15.75" thickBot="1" x14ac:dyDescent="0.3">
      <c r="A4" s="22">
        <v>3</v>
      </c>
      <c r="B4" s="25" t="s">
        <v>7</v>
      </c>
      <c r="C4" s="24" t="s">
        <v>27</v>
      </c>
      <c r="D4" s="23"/>
      <c r="E4" s="28">
        <v>8</v>
      </c>
      <c r="F4" s="23">
        <v>1</v>
      </c>
    </row>
    <row r="5" spans="1:6" ht="15.75" thickBot="1" x14ac:dyDescent="0.3">
      <c r="A5" s="22">
        <v>4</v>
      </c>
      <c r="B5" s="25" t="s">
        <v>17</v>
      </c>
      <c r="C5" s="24" t="s">
        <v>32</v>
      </c>
      <c r="D5" s="23">
        <v>1</v>
      </c>
      <c r="E5" s="28">
        <v>3</v>
      </c>
      <c r="F5" s="23">
        <v>2</v>
      </c>
    </row>
    <row r="6" spans="1:6" ht="15.75" thickBot="1" x14ac:dyDescent="0.3">
      <c r="A6" s="22">
        <v>5</v>
      </c>
      <c r="B6" s="25" t="s">
        <v>13</v>
      </c>
      <c r="C6" s="24" t="s">
        <v>30</v>
      </c>
      <c r="D6" s="23">
        <v>2</v>
      </c>
      <c r="E6" s="28">
        <v>3</v>
      </c>
      <c r="F6" s="23">
        <v>2</v>
      </c>
    </row>
    <row r="7" spans="1:6" ht="15.75" thickBot="1" x14ac:dyDescent="0.3">
      <c r="A7" s="22">
        <v>6</v>
      </c>
      <c r="B7" s="25" t="s">
        <v>51</v>
      </c>
      <c r="C7" s="24" t="s">
        <v>31</v>
      </c>
      <c r="D7" s="23">
        <v>2</v>
      </c>
      <c r="E7" s="28">
        <v>1</v>
      </c>
      <c r="F7" s="23">
        <v>3</v>
      </c>
    </row>
    <row r="8" spans="1:6" ht="30.75" thickBot="1" x14ac:dyDescent="0.3">
      <c r="A8" s="22">
        <v>7</v>
      </c>
      <c r="B8" s="25" t="s">
        <v>9</v>
      </c>
      <c r="C8" s="24" t="s">
        <v>28</v>
      </c>
      <c r="D8" s="23">
        <v>3.5</v>
      </c>
      <c r="E8" s="28">
        <v>3</v>
      </c>
      <c r="F8" s="23">
        <v>1</v>
      </c>
    </row>
    <row r="9" spans="1:6" ht="15.75" thickBot="1" x14ac:dyDescent="0.3">
      <c r="A9" s="22">
        <v>8</v>
      </c>
      <c r="B9" s="25" t="s">
        <v>52</v>
      </c>
      <c r="C9" s="24" t="s">
        <v>33</v>
      </c>
      <c r="D9" s="23">
        <v>4</v>
      </c>
      <c r="E9" s="28">
        <v>2</v>
      </c>
      <c r="F9" s="23">
        <v>1</v>
      </c>
    </row>
    <row r="10" spans="1:6" ht="15.75" thickBot="1" x14ac:dyDescent="0.3">
      <c r="A10" s="22">
        <v>9</v>
      </c>
      <c r="B10" s="25" t="s">
        <v>21</v>
      </c>
      <c r="C10" s="24" t="s">
        <v>34</v>
      </c>
      <c r="D10" s="23">
        <v>6.8</v>
      </c>
      <c r="E10" s="28">
        <v>2</v>
      </c>
      <c r="F10" s="23">
        <v>2</v>
      </c>
    </row>
    <row r="11" spans="1:6" ht="15.75" thickBot="1" x14ac:dyDescent="0.3">
      <c r="A11" s="22">
        <v>10</v>
      </c>
      <c r="B11" s="25" t="s">
        <v>23</v>
      </c>
      <c r="C11" s="24" t="s">
        <v>35</v>
      </c>
      <c r="D11" s="23">
        <v>7.9</v>
      </c>
      <c r="E11" s="28">
        <v>3</v>
      </c>
      <c r="F11" s="23">
        <v>3</v>
      </c>
    </row>
    <row r="12" spans="1:6" ht="15.75" thickBot="1" x14ac:dyDescent="0.3">
      <c r="A12" s="22">
        <v>11</v>
      </c>
      <c r="B12" s="25" t="s">
        <v>53</v>
      </c>
      <c r="C12" s="24" t="s">
        <v>36</v>
      </c>
      <c r="D12" s="23">
        <v>10</v>
      </c>
      <c r="E12" s="28">
        <v>2</v>
      </c>
      <c r="F12" s="23">
        <v>3</v>
      </c>
    </row>
    <row r="20" spans="3:24" x14ac:dyDescent="0.25">
      <c r="C20" s="1"/>
    </row>
    <row r="21" spans="3:24" x14ac:dyDescent="0.25">
      <c r="C21" s="1"/>
    </row>
    <row r="22" spans="3:24" x14ac:dyDescent="0.25">
      <c r="C22" s="1"/>
    </row>
    <row r="23" spans="3:24" ht="15.75" x14ac:dyDescent="0.25">
      <c r="C23" s="29" t="s">
        <v>36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7">
        <v>3</v>
      </c>
      <c r="X23" s="37">
        <v>3</v>
      </c>
    </row>
    <row r="24" spans="3:24" ht="15.75" x14ac:dyDescent="0.25">
      <c r="C24" s="29" t="s">
        <v>35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7">
        <v>3</v>
      </c>
      <c r="U24" s="37">
        <v>3</v>
      </c>
      <c r="V24" s="37">
        <v>3</v>
      </c>
      <c r="W24" s="31"/>
      <c r="X24" s="31"/>
    </row>
    <row r="25" spans="3:24" ht="15.75" x14ac:dyDescent="0.25">
      <c r="C25" s="29" t="s">
        <v>34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6">
        <v>2</v>
      </c>
      <c r="P25" s="36">
        <v>2</v>
      </c>
      <c r="Q25" s="31"/>
      <c r="R25" s="31"/>
      <c r="S25" s="31"/>
      <c r="T25" s="31"/>
      <c r="U25" s="31"/>
      <c r="V25" s="31"/>
      <c r="W25" s="31"/>
      <c r="X25" s="31"/>
    </row>
    <row r="26" spans="3:24" ht="15.75" x14ac:dyDescent="0.25">
      <c r="C26" s="29" t="s">
        <v>33</v>
      </c>
      <c r="D26" s="31"/>
      <c r="E26" s="31"/>
      <c r="F26" s="31"/>
      <c r="G26" s="31"/>
      <c r="H26" s="31"/>
      <c r="I26" s="31"/>
      <c r="J26" s="31"/>
      <c r="K26" s="31"/>
      <c r="L26" s="35">
        <v>2</v>
      </c>
      <c r="M26" s="35">
        <v>2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spans="3:24" ht="15.75" x14ac:dyDescent="0.25">
      <c r="C27" s="29" t="s">
        <v>28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7">
        <v>1</v>
      </c>
      <c r="R27" s="37">
        <v>1</v>
      </c>
      <c r="S27" s="37">
        <v>1</v>
      </c>
      <c r="T27" s="31"/>
      <c r="U27" s="31"/>
      <c r="V27" s="31"/>
      <c r="W27" s="31"/>
      <c r="X27" s="31"/>
    </row>
    <row r="28" spans="3:24" ht="15.75" x14ac:dyDescent="0.25">
      <c r="C28" s="29" t="s">
        <v>31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3">
        <v>3</v>
      </c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spans="3:24" ht="15.75" x14ac:dyDescent="0.25">
      <c r="C29" s="29" t="s">
        <v>30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7">
        <v>2</v>
      </c>
      <c r="O29" s="37">
        <v>2</v>
      </c>
      <c r="P29" s="37">
        <v>2</v>
      </c>
      <c r="Q29" s="31"/>
      <c r="R29" s="31"/>
      <c r="S29" s="31"/>
      <c r="T29" s="31"/>
      <c r="U29" s="31"/>
      <c r="V29" s="31"/>
      <c r="W29" s="31"/>
      <c r="X29" s="31"/>
    </row>
    <row r="30" spans="3:24" ht="15.75" x14ac:dyDescent="0.25">
      <c r="C30" s="29" t="s">
        <v>32</v>
      </c>
      <c r="D30" s="31"/>
      <c r="E30" s="31"/>
      <c r="F30" s="31"/>
      <c r="G30" s="31"/>
      <c r="H30" s="31"/>
      <c r="I30" s="34">
        <v>2</v>
      </c>
      <c r="J30" s="34">
        <v>2</v>
      </c>
      <c r="K30" s="34">
        <v>2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3:24" ht="15.75" x14ac:dyDescent="0.25">
      <c r="C31" s="29" t="s">
        <v>27</v>
      </c>
      <c r="D31" s="32">
        <v>1</v>
      </c>
      <c r="E31" s="32">
        <v>1</v>
      </c>
      <c r="F31" s="32">
        <v>1</v>
      </c>
      <c r="G31" s="32">
        <v>1</v>
      </c>
      <c r="H31" s="32">
        <v>1</v>
      </c>
      <c r="I31" s="32">
        <v>1</v>
      </c>
      <c r="J31" s="32">
        <v>1</v>
      </c>
      <c r="K31" s="32">
        <v>1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3:24" ht="15.75" x14ac:dyDescent="0.25">
      <c r="C32" s="29" t="s">
        <v>29</v>
      </c>
      <c r="D32" s="37">
        <v>3</v>
      </c>
      <c r="E32" s="37">
        <v>3</v>
      </c>
      <c r="F32" s="37">
        <v>3</v>
      </c>
      <c r="G32" s="37">
        <v>3</v>
      </c>
      <c r="H32" s="37">
        <v>3</v>
      </c>
      <c r="I32" s="37">
        <v>3</v>
      </c>
      <c r="J32" s="37">
        <v>3</v>
      </c>
      <c r="K32" s="37">
        <v>3</v>
      </c>
      <c r="L32" s="37">
        <v>3</v>
      </c>
      <c r="M32" s="37">
        <v>3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spans="3:24" ht="15.75" x14ac:dyDescent="0.25">
      <c r="C33" s="29" t="s">
        <v>26</v>
      </c>
      <c r="D33" s="32">
        <v>2</v>
      </c>
      <c r="E33" s="32">
        <v>2</v>
      </c>
      <c r="F33" s="32">
        <v>2</v>
      </c>
      <c r="G33" s="32">
        <v>2</v>
      </c>
      <c r="H33" s="32">
        <v>2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spans="3:24" x14ac:dyDescent="0.25">
      <c r="D34" s="30">
        <v>1</v>
      </c>
      <c r="E34" s="30">
        <v>2</v>
      </c>
      <c r="F34" s="30">
        <v>3</v>
      </c>
      <c r="G34" s="30">
        <v>4</v>
      </c>
      <c r="H34" s="30">
        <v>5</v>
      </c>
      <c r="I34" s="30">
        <v>6</v>
      </c>
      <c r="J34" s="30">
        <v>7</v>
      </c>
      <c r="K34" s="30">
        <v>8</v>
      </c>
      <c r="L34" s="30">
        <v>9</v>
      </c>
      <c r="M34" s="30">
        <v>10</v>
      </c>
      <c r="N34" s="30">
        <v>11</v>
      </c>
      <c r="O34" s="30">
        <v>12</v>
      </c>
      <c r="P34" s="30">
        <v>13</v>
      </c>
      <c r="Q34" s="30">
        <v>14</v>
      </c>
      <c r="R34" s="30">
        <v>15</v>
      </c>
      <c r="S34" s="30">
        <v>16</v>
      </c>
      <c r="T34" s="30">
        <v>17</v>
      </c>
      <c r="U34" s="30">
        <v>18</v>
      </c>
      <c r="V34" s="30">
        <v>19</v>
      </c>
      <c r="W34" s="30">
        <v>20</v>
      </c>
      <c r="X34" s="30">
        <v>21</v>
      </c>
    </row>
    <row r="41" spans="3:24" ht="15.75" x14ac:dyDescent="0.25">
      <c r="C41" s="29" t="s">
        <v>36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7">
        <v>3</v>
      </c>
      <c r="X41" s="37">
        <v>3</v>
      </c>
    </row>
    <row r="42" spans="3:24" ht="15.75" x14ac:dyDescent="0.25">
      <c r="C42" s="29" t="s">
        <v>35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7">
        <v>3</v>
      </c>
      <c r="U42" s="37">
        <v>3</v>
      </c>
      <c r="V42" s="37">
        <v>3</v>
      </c>
      <c r="W42" s="31"/>
      <c r="X42" s="31"/>
    </row>
    <row r="43" spans="3:24" ht="15.75" x14ac:dyDescent="0.25">
      <c r="C43" s="29" t="s">
        <v>34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6">
        <v>2</v>
      </c>
      <c r="P43" s="36">
        <v>2</v>
      </c>
      <c r="Q43" s="31"/>
      <c r="R43" s="31"/>
      <c r="S43" s="31"/>
      <c r="T43" s="31"/>
      <c r="U43" s="31"/>
      <c r="V43" s="31"/>
      <c r="W43" s="31"/>
      <c r="X43" s="31"/>
    </row>
    <row r="44" spans="3:24" ht="15.75" x14ac:dyDescent="0.25">
      <c r="C44" s="29" t="s">
        <v>33</v>
      </c>
      <c r="D44" s="31"/>
      <c r="E44" s="31"/>
      <c r="F44" s="31"/>
      <c r="G44" s="31"/>
      <c r="H44" s="31"/>
      <c r="I44" s="31"/>
      <c r="J44" s="31"/>
      <c r="K44" s="31"/>
      <c r="L44" s="35">
        <v>2</v>
      </c>
      <c r="M44" s="35">
        <v>2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 spans="3:24" ht="15.75" x14ac:dyDescent="0.25">
      <c r="C45" s="29" t="s">
        <v>28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7">
        <v>1</v>
      </c>
      <c r="R45" s="37">
        <v>1</v>
      </c>
      <c r="S45" s="37">
        <v>1</v>
      </c>
      <c r="T45" s="31"/>
      <c r="U45" s="31"/>
      <c r="V45" s="31"/>
      <c r="W45" s="31"/>
      <c r="X45" s="31"/>
    </row>
    <row r="46" spans="3:24" ht="15.75" x14ac:dyDescent="0.25">
      <c r="C46" s="29" t="s">
        <v>31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3">
        <v>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spans="3:24" ht="15.75" x14ac:dyDescent="0.25">
      <c r="C47" s="29" t="s">
        <v>30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7">
        <v>2</v>
      </c>
      <c r="O47" s="37">
        <v>2</v>
      </c>
      <c r="P47" s="37">
        <v>2</v>
      </c>
      <c r="Q47" s="31"/>
      <c r="R47" s="31"/>
      <c r="S47" s="31"/>
      <c r="T47" s="31"/>
      <c r="U47" s="31"/>
      <c r="V47" s="31"/>
      <c r="W47" s="31"/>
      <c r="X47" s="31"/>
    </row>
    <row r="48" spans="3:24" ht="15.75" x14ac:dyDescent="0.25">
      <c r="C48" s="29" t="s">
        <v>32</v>
      </c>
      <c r="D48" s="31"/>
      <c r="E48" s="31"/>
      <c r="F48" s="31"/>
      <c r="G48" s="31"/>
      <c r="H48" s="31"/>
      <c r="I48" s="34">
        <v>2</v>
      </c>
      <c r="J48" s="34">
        <v>2</v>
      </c>
      <c r="K48" s="34">
        <v>2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 spans="3:24" ht="15.75" x14ac:dyDescent="0.25">
      <c r="C49" s="29" t="s">
        <v>27</v>
      </c>
      <c r="D49" s="32">
        <v>1</v>
      </c>
      <c r="E49" s="32">
        <v>1</v>
      </c>
      <c r="F49" s="32">
        <v>1</v>
      </c>
      <c r="G49" s="32">
        <v>1</v>
      </c>
      <c r="H49" s="32">
        <v>1</v>
      </c>
      <c r="I49" s="32">
        <v>1</v>
      </c>
      <c r="J49" s="32">
        <v>1</v>
      </c>
      <c r="K49" s="32">
        <v>1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spans="3:24" ht="15.75" x14ac:dyDescent="0.25">
      <c r="C50" s="29" t="s">
        <v>29</v>
      </c>
      <c r="D50" s="37">
        <v>3</v>
      </c>
      <c r="E50" s="37">
        <v>3</v>
      </c>
      <c r="F50" s="37">
        <v>3</v>
      </c>
      <c r="G50" s="37">
        <v>3</v>
      </c>
      <c r="H50" s="37">
        <v>3</v>
      </c>
      <c r="I50" s="37">
        <v>3</v>
      </c>
      <c r="J50" s="37">
        <v>3</v>
      </c>
      <c r="K50" s="37">
        <v>3</v>
      </c>
      <c r="L50" s="37">
        <v>3</v>
      </c>
      <c r="M50" s="37">
        <v>3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 spans="3:24" ht="15.75" x14ac:dyDescent="0.25">
      <c r="C51" s="29" t="s">
        <v>26</v>
      </c>
      <c r="D51" s="32">
        <v>2</v>
      </c>
      <c r="E51" s="32">
        <v>2</v>
      </c>
      <c r="F51" s="32">
        <v>2</v>
      </c>
      <c r="G51" s="32">
        <v>2</v>
      </c>
      <c r="H51" s="32">
        <v>2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spans="3:24" x14ac:dyDescent="0.25">
      <c r="D52" s="30">
        <v>1</v>
      </c>
      <c r="E52" s="30">
        <v>2</v>
      </c>
      <c r="F52" s="30">
        <v>3</v>
      </c>
      <c r="G52" s="30">
        <v>4</v>
      </c>
      <c r="H52" s="30">
        <v>5</v>
      </c>
      <c r="I52" s="30">
        <v>6</v>
      </c>
      <c r="J52" s="30">
        <v>7</v>
      </c>
      <c r="K52" s="30">
        <v>8</v>
      </c>
      <c r="L52" s="30">
        <v>9</v>
      </c>
      <c r="M52" s="30">
        <v>10</v>
      </c>
      <c r="N52" s="30">
        <v>11</v>
      </c>
      <c r="O52" s="30">
        <v>12</v>
      </c>
      <c r="P52" s="30">
        <v>13</v>
      </c>
      <c r="Q52" s="30">
        <v>14</v>
      </c>
      <c r="R52" s="30">
        <v>15</v>
      </c>
      <c r="S52" s="30">
        <v>16</v>
      </c>
      <c r="T52" s="30">
        <v>17</v>
      </c>
      <c r="U52" s="30">
        <v>18</v>
      </c>
      <c r="V52" s="30">
        <v>19</v>
      </c>
      <c r="W52" s="30">
        <v>20</v>
      </c>
      <c r="X52" s="30">
        <v>21</v>
      </c>
    </row>
    <row r="54" spans="3:24" x14ac:dyDescent="0.25">
      <c r="C54" s="29" t="s">
        <v>58</v>
      </c>
      <c r="D54">
        <f>SUM(D41:D51)</f>
        <v>6</v>
      </c>
      <c r="E54">
        <f t="shared" ref="E54:X54" si="0">SUM(E41:E51)</f>
        <v>6</v>
      </c>
      <c r="F54">
        <f t="shared" si="0"/>
        <v>6</v>
      </c>
      <c r="G54">
        <f t="shared" si="0"/>
        <v>6</v>
      </c>
      <c r="H54">
        <f t="shared" si="0"/>
        <v>6</v>
      </c>
      <c r="I54">
        <f t="shared" si="0"/>
        <v>6</v>
      </c>
      <c r="J54">
        <f t="shared" si="0"/>
        <v>6</v>
      </c>
      <c r="K54">
        <f t="shared" si="0"/>
        <v>6</v>
      </c>
      <c r="L54">
        <f t="shared" si="0"/>
        <v>5</v>
      </c>
      <c r="M54">
        <f t="shared" si="0"/>
        <v>5</v>
      </c>
      <c r="N54">
        <f t="shared" si="0"/>
        <v>5</v>
      </c>
      <c r="O54">
        <f t="shared" si="0"/>
        <v>4</v>
      </c>
      <c r="P54">
        <f t="shared" si="0"/>
        <v>4</v>
      </c>
      <c r="Q54">
        <f t="shared" si="0"/>
        <v>1</v>
      </c>
      <c r="R54">
        <f t="shared" si="0"/>
        <v>1</v>
      </c>
      <c r="S54">
        <f t="shared" si="0"/>
        <v>1</v>
      </c>
      <c r="T54">
        <f t="shared" si="0"/>
        <v>3</v>
      </c>
      <c r="U54">
        <f t="shared" si="0"/>
        <v>3</v>
      </c>
      <c r="V54">
        <f t="shared" si="0"/>
        <v>3</v>
      </c>
      <c r="W54">
        <f t="shared" si="0"/>
        <v>3</v>
      </c>
      <c r="X54">
        <f t="shared" si="0"/>
        <v>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tabSelected="1" topLeftCell="B1" zoomScale="75" zoomScaleNormal="75" workbookViewId="0">
      <selection activeCell="E42" sqref="E42"/>
    </sheetView>
  </sheetViews>
  <sheetFormatPr defaultRowHeight="15" x14ac:dyDescent="0.25"/>
  <cols>
    <col min="1" max="1" width="9.140625" style="21"/>
    <col min="2" max="2" width="50.85546875" customWidth="1"/>
    <col min="4" max="4" width="7.7109375" customWidth="1"/>
    <col min="5" max="5" width="8.140625" customWidth="1"/>
    <col min="6" max="6" width="9.28515625" customWidth="1"/>
  </cols>
  <sheetData>
    <row r="1" spans="1:6" ht="45.75" thickBot="1" x14ac:dyDescent="0.3">
      <c r="A1" s="26"/>
      <c r="B1" s="26" t="s">
        <v>0</v>
      </c>
      <c r="C1" s="26" t="s">
        <v>54</v>
      </c>
      <c r="D1" s="26" t="s">
        <v>55</v>
      </c>
      <c r="E1" s="26" t="s">
        <v>56</v>
      </c>
      <c r="F1" s="27" t="s">
        <v>57</v>
      </c>
    </row>
    <row r="2" spans="1:6" ht="15.75" thickBot="1" x14ac:dyDescent="0.3">
      <c r="A2" s="22">
        <v>1</v>
      </c>
      <c r="B2" s="23" t="s">
        <v>50</v>
      </c>
      <c r="C2" s="24" t="s">
        <v>26</v>
      </c>
      <c r="D2" s="23"/>
      <c r="E2" s="28">
        <v>5</v>
      </c>
      <c r="F2" s="23">
        <v>2</v>
      </c>
    </row>
    <row r="3" spans="1:6" ht="15.75" thickBot="1" x14ac:dyDescent="0.3">
      <c r="A3" s="22">
        <v>2</v>
      </c>
      <c r="B3" s="25" t="s">
        <v>11</v>
      </c>
      <c r="C3" s="24" t="s">
        <v>29</v>
      </c>
      <c r="D3" s="23"/>
      <c r="E3" s="28">
        <v>10</v>
      </c>
      <c r="F3" s="23">
        <v>3</v>
      </c>
    </row>
    <row r="4" spans="1:6" ht="15.75" thickBot="1" x14ac:dyDescent="0.3">
      <c r="A4" s="22">
        <v>3</v>
      </c>
      <c r="B4" s="25" t="s">
        <v>7</v>
      </c>
      <c r="C4" s="24" t="s">
        <v>27</v>
      </c>
      <c r="D4" s="23"/>
      <c r="E4" s="28">
        <v>8</v>
      </c>
      <c r="F4" s="23">
        <v>1</v>
      </c>
    </row>
    <row r="5" spans="1:6" ht="15.75" thickBot="1" x14ac:dyDescent="0.3">
      <c r="A5" s="22">
        <v>4</v>
      </c>
      <c r="B5" s="25" t="s">
        <v>17</v>
      </c>
      <c r="C5" s="24" t="s">
        <v>32</v>
      </c>
      <c r="D5" s="23">
        <v>1</v>
      </c>
      <c r="E5" s="28">
        <v>3</v>
      </c>
      <c r="F5" s="23">
        <v>2</v>
      </c>
    </row>
    <row r="6" spans="1:6" ht="15.75" thickBot="1" x14ac:dyDescent="0.3">
      <c r="A6" s="22">
        <v>5</v>
      </c>
      <c r="B6" s="25" t="s">
        <v>13</v>
      </c>
      <c r="C6" s="24" t="s">
        <v>30</v>
      </c>
      <c r="D6" s="23">
        <v>2</v>
      </c>
      <c r="E6" s="28">
        <v>3</v>
      </c>
      <c r="F6" s="23">
        <v>2</v>
      </c>
    </row>
    <row r="7" spans="1:6" ht="15.75" thickBot="1" x14ac:dyDescent="0.3">
      <c r="A7" s="22">
        <v>6</v>
      </c>
      <c r="B7" s="25" t="s">
        <v>51</v>
      </c>
      <c r="C7" s="24" t="s">
        <v>31</v>
      </c>
      <c r="D7" s="23">
        <v>2</v>
      </c>
      <c r="E7" s="28">
        <v>1</v>
      </c>
      <c r="F7" s="23">
        <v>3</v>
      </c>
    </row>
    <row r="8" spans="1:6" ht="30.75" thickBot="1" x14ac:dyDescent="0.3">
      <c r="A8" s="22">
        <v>7</v>
      </c>
      <c r="B8" s="25" t="s">
        <v>9</v>
      </c>
      <c r="C8" s="24" t="s">
        <v>28</v>
      </c>
      <c r="D8" s="23">
        <v>3.5</v>
      </c>
      <c r="E8" s="28">
        <v>3</v>
      </c>
      <c r="F8" s="23">
        <v>1</v>
      </c>
    </row>
    <row r="9" spans="1:6" ht="15.75" thickBot="1" x14ac:dyDescent="0.3">
      <c r="A9" s="22">
        <v>8</v>
      </c>
      <c r="B9" s="25" t="s">
        <v>52</v>
      </c>
      <c r="C9" s="24" t="s">
        <v>33</v>
      </c>
      <c r="D9" s="23">
        <v>4</v>
      </c>
      <c r="E9" s="28">
        <v>2</v>
      </c>
      <c r="F9" s="23">
        <v>1</v>
      </c>
    </row>
    <row r="10" spans="1:6" ht="15.75" thickBot="1" x14ac:dyDescent="0.3">
      <c r="A10" s="22">
        <v>9</v>
      </c>
      <c r="B10" s="25" t="s">
        <v>21</v>
      </c>
      <c r="C10" s="24" t="s">
        <v>34</v>
      </c>
      <c r="D10" s="23">
        <v>6.8</v>
      </c>
      <c r="E10" s="28">
        <v>2</v>
      </c>
      <c r="F10" s="23">
        <v>2</v>
      </c>
    </row>
    <row r="11" spans="1:6" ht="15.75" thickBot="1" x14ac:dyDescent="0.3">
      <c r="A11" s="22">
        <v>10</v>
      </c>
      <c r="B11" s="25" t="s">
        <v>23</v>
      </c>
      <c r="C11" s="24" t="s">
        <v>35</v>
      </c>
      <c r="D11" s="23">
        <v>7.9</v>
      </c>
      <c r="E11" s="28">
        <v>3</v>
      </c>
      <c r="F11" s="23">
        <v>3</v>
      </c>
    </row>
    <row r="12" spans="1:6" ht="15.75" thickBot="1" x14ac:dyDescent="0.3">
      <c r="A12" s="22">
        <v>11</v>
      </c>
      <c r="B12" s="25" t="s">
        <v>53</v>
      </c>
      <c r="C12" s="24" t="s">
        <v>36</v>
      </c>
      <c r="D12" s="23">
        <v>10</v>
      </c>
      <c r="E12" s="28">
        <v>2</v>
      </c>
      <c r="F12" s="23">
        <v>3</v>
      </c>
    </row>
    <row r="20" spans="3:24" x14ac:dyDescent="0.25">
      <c r="C20" s="1"/>
    </row>
    <row r="26" spans="3:24" ht="15.75" x14ac:dyDescent="0.25">
      <c r="C26" s="29" t="s">
        <v>36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7">
        <v>3</v>
      </c>
      <c r="X26" s="37">
        <v>3</v>
      </c>
    </row>
    <row r="27" spans="3:24" ht="15.75" x14ac:dyDescent="0.25">
      <c r="C27" s="29" t="s">
        <v>35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7">
        <v>3</v>
      </c>
      <c r="U27" s="37">
        <v>3</v>
      </c>
      <c r="V27" s="37">
        <v>3</v>
      </c>
      <c r="W27" s="31"/>
      <c r="X27" s="31"/>
    </row>
    <row r="28" spans="3:24" ht="15.75" x14ac:dyDescent="0.25">
      <c r="C28" s="29" t="s">
        <v>34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8"/>
      <c r="P28" s="38"/>
      <c r="Q28" s="36">
        <v>2</v>
      </c>
      <c r="R28" s="36">
        <v>2</v>
      </c>
      <c r="S28" s="31"/>
      <c r="T28" s="31"/>
      <c r="U28" s="31"/>
      <c r="V28" s="31"/>
      <c r="W28" s="31"/>
      <c r="X28" s="31"/>
    </row>
    <row r="29" spans="3:24" ht="15.75" x14ac:dyDescent="0.25">
      <c r="C29" s="29" t="s">
        <v>33</v>
      </c>
      <c r="D29" s="31"/>
      <c r="E29" s="31"/>
      <c r="F29" s="31"/>
      <c r="G29" s="31"/>
      <c r="H29" s="31"/>
      <c r="I29" s="31"/>
      <c r="J29" s="31"/>
      <c r="K29" s="31"/>
      <c r="L29" s="35">
        <v>2</v>
      </c>
      <c r="M29" s="35">
        <v>2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spans="3:24" ht="15.75" x14ac:dyDescent="0.25">
      <c r="C30" s="29" t="s">
        <v>28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7">
        <v>1</v>
      </c>
      <c r="R30" s="37">
        <v>1</v>
      </c>
      <c r="S30" s="37">
        <v>1</v>
      </c>
      <c r="T30" s="31"/>
      <c r="U30" s="31"/>
      <c r="V30" s="31"/>
      <c r="W30" s="31"/>
      <c r="X30" s="31"/>
    </row>
    <row r="31" spans="3:24" ht="15.75" x14ac:dyDescent="0.25">
      <c r="C31" s="29" t="s">
        <v>31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3">
        <v>3</v>
      </c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3:24" ht="15.75" x14ac:dyDescent="0.25">
      <c r="C32" s="29" t="s">
        <v>30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7">
        <v>2</v>
      </c>
      <c r="O32" s="37">
        <v>2</v>
      </c>
      <c r="P32" s="37">
        <v>2</v>
      </c>
      <c r="Q32" s="31"/>
      <c r="R32" s="31"/>
      <c r="S32" s="31"/>
      <c r="T32" s="31"/>
      <c r="U32" s="31"/>
      <c r="V32" s="31"/>
      <c r="W32" s="31"/>
      <c r="X32" s="31"/>
    </row>
    <row r="33" spans="3:24" ht="15.75" x14ac:dyDescent="0.25">
      <c r="C33" s="29" t="s">
        <v>32</v>
      </c>
      <c r="D33" s="31"/>
      <c r="E33" s="31"/>
      <c r="F33" s="31"/>
      <c r="G33" s="31"/>
      <c r="H33" s="31"/>
      <c r="I33" s="34">
        <v>2</v>
      </c>
      <c r="J33" s="34">
        <v>2</v>
      </c>
      <c r="K33" s="34">
        <v>2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spans="3:24" ht="15.75" x14ac:dyDescent="0.25">
      <c r="C34" s="29" t="s">
        <v>27</v>
      </c>
      <c r="D34" s="32">
        <v>1</v>
      </c>
      <c r="E34" s="32">
        <v>1</v>
      </c>
      <c r="F34" s="32">
        <v>1</v>
      </c>
      <c r="G34" s="32">
        <v>1</v>
      </c>
      <c r="H34" s="32">
        <v>1</v>
      </c>
      <c r="I34" s="32">
        <v>1</v>
      </c>
      <c r="J34" s="32">
        <v>1</v>
      </c>
      <c r="K34" s="32">
        <v>1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spans="3:24" ht="15.75" x14ac:dyDescent="0.25">
      <c r="C35" s="29" t="s">
        <v>29</v>
      </c>
      <c r="D35" s="37">
        <v>3</v>
      </c>
      <c r="E35" s="37">
        <v>3</v>
      </c>
      <c r="F35" s="37">
        <v>3</v>
      </c>
      <c r="G35" s="37">
        <v>3</v>
      </c>
      <c r="H35" s="37">
        <v>3</v>
      </c>
      <c r="I35" s="37">
        <v>3</v>
      </c>
      <c r="J35" s="37">
        <v>3</v>
      </c>
      <c r="K35" s="37">
        <v>3</v>
      </c>
      <c r="L35" s="37">
        <v>3</v>
      </c>
      <c r="M35" s="37">
        <v>3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spans="3:24" ht="15.75" x14ac:dyDescent="0.25">
      <c r="C36" s="29" t="s">
        <v>26</v>
      </c>
      <c r="D36" s="32">
        <v>2</v>
      </c>
      <c r="E36" s="32">
        <v>2</v>
      </c>
      <c r="F36" s="32">
        <v>2</v>
      </c>
      <c r="G36" s="32">
        <v>2</v>
      </c>
      <c r="H36" s="32">
        <v>2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 spans="3:24" x14ac:dyDescent="0.25">
      <c r="D37" s="30">
        <v>1</v>
      </c>
      <c r="E37" s="30">
        <v>2</v>
      </c>
      <c r="F37" s="30">
        <v>3</v>
      </c>
      <c r="G37" s="30">
        <v>4</v>
      </c>
      <c r="H37" s="30">
        <v>5</v>
      </c>
      <c r="I37" s="30">
        <v>6</v>
      </c>
      <c r="J37" s="30">
        <v>7</v>
      </c>
      <c r="K37" s="30">
        <v>8</v>
      </c>
      <c r="L37" s="30">
        <v>9</v>
      </c>
      <c r="M37" s="30">
        <v>10</v>
      </c>
      <c r="N37" s="30">
        <v>11</v>
      </c>
      <c r="O37" s="30">
        <v>12</v>
      </c>
      <c r="P37" s="30">
        <v>13</v>
      </c>
      <c r="Q37" s="30">
        <v>14</v>
      </c>
      <c r="R37" s="30">
        <v>15</v>
      </c>
      <c r="S37" s="30">
        <v>16</v>
      </c>
      <c r="T37" s="30">
        <v>17</v>
      </c>
      <c r="U37" s="30">
        <v>18</v>
      </c>
      <c r="V37" s="30">
        <v>19</v>
      </c>
      <c r="W37" s="30">
        <v>20</v>
      </c>
      <c r="X37" s="30">
        <v>21</v>
      </c>
    </row>
    <row r="39" spans="3:24" x14ac:dyDescent="0.25">
      <c r="C39" s="29" t="s">
        <v>58</v>
      </c>
      <c r="D39">
        <f>SUM(D26:D36)</f>
        <v>6</v>
      </c>
      <c r="E39">
        <f>SUM(E26:E36)</f>
        <v>6</v>
      </c>
      <c r="F39">
        <f>SUM(F26:F36)</f>
        <v>6</v>
      </c>
      <c r="G39">
        <f>SUM(G26:G36)</f>
        <v>6</v>
      </c>
      <c r="H39">
        <f>SUM(H26:H36)</f>
        <v>6</v>
      </c>
      <c r="I39">
        <f>SUM(I26:I36)</f>
        <v>6</v>
      </c>
      <c r="J39">
        <f>SUM(J26:J36)</f>
        <v>6</v>
      </c>
      <c r="K39">
        <f>SUM(K26:K36)</f>
        <v>6</v>
      </c>
      <c r="L39">
        <f>SUM(L26:L36)</f>
        <v>5</v>
      </c>
      <c r="M39">
        <f>SUM(M26:M36)</f>
        <v>5</v>
      </c>
      <c r="N39">
        <f>SUM(N26:N36)</f>
        <v>5</v>
      </c>
      <c r="O39">
        <f>SUM(O26:O36)</f>
        <v>2</v>
      </c>
      <c r="P39">
        <f>SUM(P26:P36)</f>
        <v>2</v>
      </c>
      <c r="Q39">
        <f>SUM(Q26:Q36)</f>
        <v>3</v>
      </c>
      <c r="R39">
        <f>SUM(R26:R36)</f>
        <v>3</v>
      </c>
      <c r="S39">
        <f>SUM(S26:S36)</f>
        <v>1</v>
      </c>
      <c r="T39">
        <f>SUM(T26:T36)</f>
        <v>3</v>
      </c>
      <c r="U39">
        <f>SUM(U26:U36)</f>
        <v>3</v>
      </c>
      <c r="V39">
        <f>SUM(V26:V36)</f>
        <v>3</v>
      </c>
      <c r="W39">
        <f>SUM(W26:W36)</f>
        <v>3</v>
      </c>
      <c r="X39">
        <f>SUM(X26:X36)</f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ДО</vt:lpstr>
      <vt:lpstr>ПОСЛЕ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днс</dc:creator>
  <cp:lastModifiedBy>ITStud</cp:lastModifiedBy>
  <cp:lastPrinted>2015-09-17T11:31:19Z</cp:lastPrinted>
  <dcterms:created xsi:type="dcterms:W3CDTF">2015-09-10T19:41:00Z</dcterms:created>
  <dcterms:modified xsi:type="dcterms:W3CDTF">2026-09-30T09:54:00Z</dcterms:modified>
</cp:coreProperties>
</file>