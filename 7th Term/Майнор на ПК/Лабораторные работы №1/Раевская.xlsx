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йнорСППУР\Лабораторные работы №1\"/>
    </mc:Choice>
  </mc:AlternateContent>
  <xr:revisionPtr revIDLastSave="0" documentId="8_{03670802-6670-4620-971E-796A9E79F2F9}" xr6:coauthVersionLast="47" xr6:coauthVersionMax="47" xr10:uidLastSave="{00000000-0000-0000-0000-000000000000}"/>
  <bookViews>
    <workbookView xWindow="-120" yWindow="-120" windowWidth="29040" windowHeight="15720" xr2:uid="{700A4833-0DC0-4641-BFFB-3FDC33B2FB3F}"/>
  </bookViews>
  <sheets>
    <sheet name="Лист1" sheetId="2" r:id="rId1"/>
    <sheet name="Лист2" sheetId="1" r:id="rId2"/>
    <sheet name="Лист3" sheetId="3" r:id="rId3"/>
  </sheets>
  <definedNames>
    <definedName name="NPV">Лист2!$L$18:$L$21</definedName>
    <definedName name="ROI">Лист2!$M$18:$M$21</definedName>
    <definedName name="риск">Лист2!$I$18:$I$21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9" i="1" l="1"/>
  <c r="Q20" i="1"/>
  <c r="Q21" i="1"/>
  <c r="Q18" i="1"/>
  <c r="N21" i="1"/>
  <c r="L21" i="1"/>
  <c r="M21" i="1" s="1"/>
  <c r="N20" i="1"/>
  <c r="L20" i="1"/>
  <c r="M20" i="1" s="1"/>
  <c r="N19" i="1"/>
  <c r="L19" i="1"/>
  <c r="M19" i="1" s="1"/>
  <c r="N18" i="1"/>
  <c r="L18" i="1"/>
  <c r="M18" i="1" s="1"/>
  <c r="P21" i="1" s="1"/>
  <c r="Q4" i="1"/>
  <c r="Q5" i="1"/>
  <c r="Q6" i="1"/>
  <c r="Q7" i="1"/>
  <c r="Q3" i="1"/>
  <c r="O6" i="1"/>
  <c r="P6" i="1" s="1"/>
  <c r="O4" i="1"/>
  <c r="P4" i="1" s="1"/>
  <c r="O5" i="1"/>
  <c r="P5" i="1" s="1"/>
  <c r="O7" i="1"/>
  <c r="P7" i="1" s="1"/>
  <c r="O3" i="1"/>
  <c r="P3" i="1" s="1"/>
  <c r="P19" i="1" l="1"/>
  <c r="P18" i="1"/>
  <c r="P20" i="1"/>
  <c r="O21" i="1"/>
  <c r="R21" i="1" s="1"/>
  <c r="O20" i="1"/>
  <c r="O18" i="1"/>
  <c r="O19" i="1"/>
  <c r="R19" i="1" l="1"/>
  <c r="R18" i="1"/>
  <c r="R20" i="1"/>
</calcChain>
</file>

<file path=xl/sharedStrings.xml><?xml version="1.0" encoding="utf-8"?>
<sst xmlns="http://schemas.openxmlformats.org/spreadsheetml/2006/main" count="45" uniqueCount="25">
  <si>
    <t>A1</t>
  </si>
  <si>
    <t>A2</t>
  </si>
  <si>
    <t>A3</t>
  </si>
  <si>
    <t>A4</t>
  </si>
  <si>
    <t>A5</t>
  </si>
  <si>
    <t>потоки</t>
  </si>
  <si>
    <t>ставка</t>
  </si>
  <si>
    <t>горизонт</t>
  </si>
  <si>
    <t>риск</t>
  </si>
  <si>
    <t>простота</t>
  </si>
  <si>
    <t>командная работа</t>
  </si>
  <si>
    <t>инвестиции</t>
  </si>
  <si>
    <t>NPV</t>
  </si>
  <si>
    <t>ROI,%</t>
  </si>
  <si>
    <t>допустимость</t>
  </si>
  <si>
    <t>NPV, norm</t>
  </si>
  <si>
    <t>ROI, norm</t>
  </si>
  <si>
    <t>Риск, норм</t>
  </si>
  <si>
    <t>взвешенная сумма</t>
  </si>
  <si>
    <t>Таблица 1</t>
  </si>
  <si>
    <t>Таблица 2 - Расчёты</t>
  </si>
  <si>
    <t>Таблица 3. Нормализация и взвешенные суммы</t>
  </si>
  <si>
    <t>Раевская Анна Сергеевна</t>
  </si>
  <si>
    <t>ИТА-123</t>
  </si>
  <si>
    <t>Лабораторная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</si>
</sst>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6" tint="-0.249977111117893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theme="9" tint="-0.249977111117893"/>
      </left>
      <right style="thin">
        <color indexed="64"/>
      </right>
      <top style="dashDot">
        <color theme="9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">
        <color theme="9" tint="-0.249977111117893"/>
      </top>
      <bottom style="thin">
        <color indexed="64"/>
      </bottom>
      <diagonal/>
    </border>
    <border>
      <left style="thin">
        <color indexed="64"/>
      </left>
      <right style="dashDot">
        <color theme="9" tint="-0.249977111117893"/>
      </right>
      <top style="dashDot">
        <color theme="9" tint="-0.249977111117893"/>
      </top>
      <bottom style="thin">
        <color indexed="64"/>
      </bottom>
      <diagonal/>
    </border>
    <border>
      <left style="dashDot">
        <color theme="9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Dot">
        <color theme="9" tint="-0.249977111117893"/>
      </right>
      <top style="thin">
        <color indexed="64"/>
      </top>
      <bottom style="thin">
        <color indexed="64"/>
      </bottom>
      <diagonal/>
    </border>
    <border>
      <left style="dashDot">
        <color theme="9" tint="-0.249977111117893"/>
      </left>
      <right style="thin">
        <color indexed="64"/>
      </right>
      <top style="thin">
        <color indexed="64"/>
      </top>
      <bottom style="dashDot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">
        <color theme="9" tint="-0.249977111117893"/>
      </bottom>
      <diagonal/>
    </border>
    <border>
      <left style="thin">
        <color indexed="64"/>
      </left>
      <right style="dashDot">
        <color theme="9" tint="-0.249977111117893"/>
      </right>
      <top style="thin">
        <color indexed="64"/>
      </top>
      <bottom style="dashDot">
        <color theme="9" tint="-0.249977111117893"/>
      </bottom>
      <diagonal/>
    </border>
    <border>
      <left style="dashDot">
        <color theme="9" tint="-0.249977111117893"/>
      </left>
      <right style="thin">
        <color indexed="64"/>
      </right>
      <top style="dashDot">
        <color theme="9" tint="-0.249977111117893"/>
      </top>
      <bottom style="dashDot">
        <color theme="9" tint="-0.249977111117893"/>
      </bottom>
      <diagonal/>
    </border>
    <border>
      <left style="thin">
        <color indexed="64"/>
      </left>
      <right style="thin">
        <color indexed="64"/>
      </right>
      <top style="dashDot">
        <color theme="9" tint="-0.249977111117893"/>
      </top>
      <bottom style="dashDot">
        <color theme="9" tint="-0.249977111117893"/>
      </bottom>
      <diagonal/>
    </border>
    <border>
      <left style="thin">
        <color indexed="64"/>
      </left>
      <right style="dashDot">
        <color theme="9" tint="-0.249977111117893"/>
      </right>
      <top style="dashDot">
        <color theme="9" tint="-0.249977111117893"/>
      </top>
      <bottom style="dashDot">
        <color theme="9" tint="-0.24997711111789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wrapText="1"/>
    </xf>
    <xf numFmtId="8" fontId="0" fillId="0" borderId="1" xfId="0" applyNumberFormat="1" applyBorder="1"/>
    <xf numFmtId="10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NumberFormat="1"/>
    <xf numFmtId="0" fontId="0" fillId="3" borderId="1" xfId="0" applyFill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6" xfId="0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4" borderId="13" xfId="0" applyNumberFormat="1" applyFill="1" applyBorder="1" applyAlignment="1">
      <alignment vertical="center" wrapText="1"/>
    </xf>
    <xf numFmtId="0" fontId="0" fillId="4" borderId="14" xfId="0" applyNumberFormat="1" applyFill="1" applyBorder="1" applyAlignment="1">
      <alignment vertical="center" wrapText="1"/>
    </xf>
    <xf numFmtId="0" fontId="0" fillId="5" borderId="15" xfId="0" applyNumberFormat="1" applyFill="1" applyBorder="1" applyAlignment="1">
      <alignment vertical="center" wrapText="1"/>
    </xf>
    <xf numFmtId="0" fontId="0" fillId="6" borderId="1" xfId="0" applyFill="1" applyBorder="1"/>
    <xf numFmtId="0" fontId="1" fillId="0" borderId="1" xfId="0" applyFont="1" applyBorder="1"/>
    <xf numFmtId="8" fontId="1" fillId="0" borderId="1" xfId="0" applyNumberFormat="1" applyFont="1" applyBorder="1"/>
    <xf numFmtId="10" fontId="1" fillId="0" borderId="1" xfId="0" applyNumberFormat="1" applyFont="1" applyBorder="1"/>
    <xf numFmtId="0" fontId="1" fillId="0" borderId="2" xfId="0" applyFont="1" applyBorder="1"/>
    <xf numFmtId="0" fontId="1" fillId="0" borderId="1" xfId="0" applyFont="1" applyFill="1" applyBorder="1"/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Лист2!$L$17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Лист2!$L$18:$L$21</c:f>
              <c:numCache>
                <c:formatCode>"₽"#,##0.00_);[Red]\("₽"#,##0.00\)</c:formatCode>
                <c:ptCount val="4"/>
                <c:pt idx="0">
                  <c:v>52265.214124718215</c:v>
                </c:pt>
                <c:pt idx="1">
                  <c:v>17421.69480374569</c:v>
                </c:pt>
                <c:pt idx="2">
                  <c:v>-29424.648129463254</c:v>
                </c:pt>
                <c:pt idx="3">
                  <c:v>19568.689195377083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F-4560-955A-FA92F5369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134192"/>
        <c:axId val="676134608"/>
      </c:barChart>
      <c:catAx>
        <c:axId val="6761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34608"/>
        <c:crosses val="autoZero"/>
        <c:auto val="1"/>
        <c:lblAlgn val="ctr"/>
        <c:lblOffset val="100"/>
        <c:noMultiLvlLbl val="0"/>
      </c:catAx>
      <c:valAx>
        <c:axId val="6761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3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Лист2!$M$17</c:f>
              <c:strCache>
                <c:ptCount val="1"/>
                <c:pt idx="0">
                  <c:v>ROI,%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Лист2!$M$18:$M$21</c:f>
              <c:numCache>
                <c:formatCode>0.00%</c:formatCode>
                <c:ptCount val="4"/>
                <c:pt idx="0">
                  <c:v>0.38714973425717197</c:v>
                </c:pt>
                <c:pt idx="1">
                  <c:v>0.17421694803745691</c:v>
                </c:pt>
                <c:pt idx="2">
                  <c:v>-0.17833120078462578</c:v>
                </c:pt>
                <c:pt idx="3">
                  <c:v>0.16307240996147568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4-41D9-89AF-43F5D0A98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36672"/>
        <c:axId val="682534176"/>
      </c:barChart>
      <c:catAx>
        <c:axId val="68253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534176"/>
        <c:crosses val="autoZero"/>
        <c:auto val="1"/>
        <c:lblAlgn val="ctr"/>
        <c:lblOffset val="100"/>
        <c:noMultiLvlLbl val="0"/>
      </c:catAx>
      <c:valAx>
        <c:axId val="6825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53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Лист2!$R$17</c:f>
              <c:strCache>
                <c:ptCount val="1"/>
                <c:pt idx="0">
                  <c:v>взвешенная сумма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Лист2!$R$18:$R$21</c:f>
              <c:numCache>
                <c:formatCode>0.00</c:formatCode>
                <c:ptCount val="4"/>
                <c:pt idx="0">
                  <c:v>4.6000000000000005</c:v>
                </c:pt>
                <c:pt idx="1">
                  <c:v>3.7409936316438248</c:v>
                </c:pt>
                <c:pt idx="2">
                  <c:v>1.1000000000000001</c:v>
                </c:pt>
                <c:pt idx="3">
                  <c:v>3.4633371810172084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2-4570-A475-1927EEF8B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58384"/>
        <c:axId val="685359216"/>
      </c:barChart>
      <c:catAx>
        <c:axId val="6853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5359216"/>
        <c:crosses val="autoZero"/>
        <c:auto val="1"/>
        <c:lblAlgn val="ctr"/>
        <c:lblOffset val="100"/>
        <c:noMultiLvlLbl val="0"/>
      </c:catAx>
      <c:valAx>
        <c:axId val="6853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53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23</xdr:row>
      <xdr:rowOff>104775</xdr:rowOff>
    </xdr:from>
    <xdr:to>
      <xdr:col>14</xdr:col>
      <xdr:colOff>114300</xdr:colOff>
      <xdr:row>41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3AC286-93A3-45CE-A64D-FCEBAB642955}"/>
            </a:ext>
          </a:extLst>
        </xdr:cNvPr>
        <xdr:cNvSpPr txBox="1"/>
      </xdr:nvSpPr>
      <xdr:spPr>
        <a:xfrm>
          <a:off x="1266825" y="5057775"/>
          <a:ext cx="8858250" cy="3400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Вариант 5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Ограничение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Инвестиции ≤ 195,000 руб.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Критерии и веса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NPV (0.4), ROI (0.25), Риск (0.15), Простота (0.1), Командная работа (0.1).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 Инвестиции = 135,000 руб., Потоки = [75,000, 85,000, 65,000], Ставка = 0.10, Горизонт = 3 года, Риск = 3, Простота = 4, Командная работа = 5 (NPV = 35,685.19).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A2: Инвестиции = 100,000 руб., Потоки = [45,000, 40,000, 55,000], Ставка = 0.09, Горизонт = 3 года, Риск = 2, Простота = 5, Командная работа = 3 (NPV = 14,685.19).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A3: Инвестиции = 205,000 руб., Потоки = [95,000, 105,000, 85,000], Ставка = 0.08, Горизонт = 3 года, Риск = 4, Простота = 2, Командная работа = 4 (недопустима, NPV = 40,685.19).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A4: Инвестиции = 165,000 руб., Потоки = [30,000, 40,000, 50,000, 60,000], Ставка = 0.11, Горизонт = 4 года, Риск = 1, Простота = 3, Командная работа = 2 (NPV = -44,424.65).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A5: Инвестиции = 120,000 руб., Потоки = [55,000, 60,000, 50,000], Ставка = 0.09, Горизонт = 3 года, Риск = 3, Простота = 4, Командная работа = 4 (NPV = 17,255.74).</a:t>
          </a:r>
        </a:p>
        <a:p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304800</xdr:colOff>
      <xdr:row>14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1738CF-5A07-4B76-B6D9-CEA320CD6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0</xdr:row>
      <xdr:rowOff>19050</xdr:rowOff>
    </xdr:from>
    <xdr:to>
      <xdr:col>15</xdr:col>
      <xdr:colOff>142875</xdr:colOff>
      <xdr:row>14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A2A74FF-BD0E-4D17-B0B8-4379076BC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0</xdr:row>
      <xdr:rowOff>0</xdr:rowOff>
    </xdr:from>
    <xdr:to>
      <xdr:col>23</xdr:col>
      <xdr:colOff>0</xdr:colOff>
      <xdr:row>14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61046DA-16FE-4561-9253-D998997CD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64A-C046-4317-9196-FE1EBBA09C04}">
  <dimension ref="H15:I18"/>
  <sheetViews>
    <sheetView tabSelected="1" workbookViewId="0">
      <selection activeCell="F15" sqref="F15"/>
    </sheetView>
  </sheetViews>
  <sheetFormatPr defaultRowHeight="15" x14ac:dyDescent="0.25"/>
  <cols>
    <col min="8" max="8" width="68.85546875" bestFit="1" customWidth="1"/>
  </cols>
  <sheetData>
    <row r="15" spans="8:9" ht="36" x14ac:dyDescent="0.55000000000000004">
      <c r="H15" s="37" t="s">
        <v>22</v>
      </c>
      <c r="I15" s="37"/>
    </row>
    <row r="16" spans="8:9" ht="36" x14ac:dyDescent="0.55000000000000004">
      <c r="H16" s="37" t="s">
        <v>23</v>
      </c>
      <c r="I16" s="37"/>
    </row>
    <row r="17" spans="8:9" ht="36" x14ac:dyDescent="0.55000000000000004">
      <c r="H17" s="37" t="s">
        <v>24</v>
      </c>
      <c r="I17" s="37"/>
    </row>
    <row r="18" spans="8:9" ht="36" x14ac:dyDescent="0.55000000000000004">
      <c r="H18" s="38">
        <v>46266</v>
      </c>
      <c r="I18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E48C-2A16-47DB-857A-7A983F640EC6}">
  <dimension ref="A1:R21"/>
  <sheetViews>
    <sheetView workbookViewId="0">
      <selection activeCell="N13" sqref="N13"/>
    </sheetView>
  </sheetViews>
  <sheetFormatPr defaultRowHeight="15" x14ac:dyDescent="0.25"/>
  <cols>
    <col min="2" max="2" width="11.7109375" bestFit="1" customWidth="1"/>
    <col min="8" max="8" width="12.85546875" customWidth="1"/>
    <col min="11" max="11" width="14.5703125" customWidth="1"/>
    <col min="12" max="12" width="11.28515625" bestFit="1" customWidth="1"/>
    <col min="13" max="13" width="12.85546875" customWidth="1"/>
    <col min="14" max="14" width="13.7109375" bestFit="1" customWidth="1"/>
    <col min="15" max="15" width="13.140625" style="10" customWidth="1"/>
    <col min="16" max="16" width="11" customWidth="1"/>
    <col min="17" max="17" width="14.140625" customWidth="1"/>
    <col min="18" max="18" width="13" customWidth="1"/>
  </cols>
  <sheetData>
    <row r="1" spans="1:17" x14ac:dyDescent="0.25">
      <c r="A1" t="s">
        <v>19</v>
      </c>
      <c r="M1" t="s">
        <v>20</v>
      </c>
    </row>
    <row r="2" spans="1:17" ht="45" customHeight="1" x14ac:dyDescent="0.25">
      <c r="A2" s="1"/>
      <c r="B2" s="1" t="s">
        <v>11</v>
      </c>
      <c r="C2" s="7" t="s">
        <v>5</v>
      </c>
      <c r="D2" s="8"/>
      <c r="E2" s="8"/>
      <c r="F2" s="9"/>
      <c r="G2" s="1" t="s">
        <v>6</v>
      </c>
      <c r="H2" s="1" t="s">
        <v>7</v>
      </c>
      <c r="I2" s="1" t="s">
        <v>8</v>
      </c>
      <c r="J2" s="1" t="s">
        <v>9</v>
      </c>
      <c r="K2" s="4" t="s">
        <v>10</v>
      </c>
      <c r="M2" s="26"/>
      <c r="N2" s="26" t="s">
        <v>11</v>
      </c>
      <c r="O2" s="26" t="s">
        <v>12</v>
      </c>
      <c r="P2" s="26" t="s">
        <v>13</v>
      </c>
      <c r="Q2" s="26" t="s">
        <v>14</v>
      </c>
    </row>
    <row r="3" spans="1:17" x14ac:dyDescent="0.25">
      <c r="A3" s="2" t="s">
        <v>0</v>
      </c>
      <c r="B3" s="2">
        <v>135000</v>
      </c>
      <c r="C3" s="2">
        <v>75000</v>
      </c>
      <c r="D3" s="2">
        <v>85000</v>
      </c>
      <c r="E3" s="2">
        <v>65000</v>
      </c>
      <c r="F3" s="2"/>
      <c r="G3" s="2">
        <v>0.1</v>
      </c>
      <c r="H3" s="2">
        <v>3</v>
      </c>
      <c r="I3" s="2">
        <v>3</v>
      </c>
      <c r="J3" s="2">
        <v>4</v>
      </c>
      <c r="K3" s="2">
        <v>5</v>
      </c>
      <c r="M3" s="2" t="s">
        <v>0</v>
      </c>
      <c r="N3" s="2">
        <v>135000</v>
      </c>
      <c r="O3" s="5">
        <f>NPV(G3,C3:E3)-B3</f>
        <v>52265.214124718215</v>
      </c>
      <c r="P3" s="6">
        <f>O3/B3</f>
        <v>0.38714973425717197</v>
      </c>
      <c r="Q3" s="2" t="str">
        <f>IF(B3&lt;=195000, "да", "нет")</f>
        <v>да</v>
      </c>
    </row>
    <row r="4" spans="1:17" x14ac:dyDescent="0.25">
      <c r="A4" s="2" t="s">
        <v>1</v>
      </c>
      <c r="B4" s="2">
        <v>100000</v>
      </c>
      <c r="C4" s="2">
        <v>45000</v>
      </c>
      <c r="D4" s="2">
        <v>40000</v>
      </c>
      <c r="E4" s="2">
        <v>55000</v>
      </c>
      <c r="F4" s="2"/>
      <c r="G4" s="3">
        <v>0.09</v>
      </c>
      <c r="H4" s="3">
        <v>3</v>
      </c>
      <c r="I4" s="3">
        <v>2</v>
      </c>
      <c r="J4" s="3">
        <v>5</v>
      </c>
      <c r="K4" s="3">
        <v>3</v>
      </c>
      <c r="M4" s="2" t="s">
        <v>1</v>
      </c>
      <c r="N4" s="2">
        <v>100000</v>
      </c>
      <c r="O4" s="5">
        <f>NPV(G4,C4:E4)-B4</f>
        <v>17421.69480374569</v>
      </c>
      <c r="P4" s="6">
        <f>O4/B4</f>
        <v>0.17421694803745691</v>
      </c>
      <c r="Q4" s="2" t="str">
        <f>IF(B4&lt;=195000, "да", "нет")</f>
        <v>да</v>
      </c>
    </row>
    <row r="5" spans="1:17" x14ac:dyDescent="0.25">
      <c r="A5" s="2" t="s">
        <v>2</v>
      </c>
      <c r="B5" s="2">
        <v>205000</v>
      </c>
      <c r="C5" s="2">
        <v>95000</v>
      </c>
      <c r="D5" s="2">
        <v>105000</v>
      </c>
      <c r="E5" s="2">
        <v>85000</v>
      </c>
      <c r="F5" s="2"/>
      <c r="G5" s="3">
        <v>0.08</v>
      </c>
      <c r="H5" s="3">
        <v>3</v>
      </c>
      <c r="I5" s="3">
        <v>4</v>
      </c>
      <c r="J5" s="3">
        <v>2</v>
      </c>
      <c r="K5" s="3">
        <v>4</v>
      </c>
      <c r="M5" s="2" t="s">
        <v>2</v>
      </c>
      <c r="N5" s="2">
        <v>205000</v>
      </c>
      <c r="O5" s="5">
        <f>NPV(G5,C5:E5)-B5</f>
        <v>40459.279581364564</v>
      </c>
      <c r="P5" s="6">
        <f>O5/B5</f>
        <v>0.19736233942129056</v>
      </c>
      <c r="Q5" s="11" t="str">
        <f>IF(B5&lt;=195000, "да", "нет")</f>
        <v>нет</v>
      </c>
    </row>
    <row r="6" spans="1:17" x14ac:dyDescent="0.25">
      <c r="A6" s="2" t="s">
        <v>3</v>
      </c>
      <c r="B6" s="2">
        <v>165000</v>
      </c>
      <c r="C6" s="2">
        <v>30000</v>
      </c>
      <c r="D6" s="2">
        <v>40000</v>
      </c>
      <c r="E6" s="2">
        <v>50000</v>
      </c>
      <c r="F6" s="3">
        <v>60000</v>
      </c>
      <c r="G6" s="3">
        <v>0.11</v>
      </c>
      <c r="H6" s="3">
        <v>4</v>
      </c>
      <c r="I6" s="3">
        <v>4</v>
      </c>
      <c r="J6" s="3">
        <v>1</v>
      </c>
      <c r="K6" s="3">
        <v>2</v>
      </c>
      <c r="M6" s="2" t="s">
        <v>3</v>
      </c>
      <c r="N6" s="2">
        <v>165000</v>
      </c>
      <c r="O6" s="5">
        <f>NPV(G6,C6:F6)-B6</f>
        <v>-29424.648129463254</v>
      </c>
      <c r="P6" s="6">
        <f>O6/B6</f>
        <v>-0.17833120078462578</v>
      </c>
      <c r="Q6" s="2" t="str">
        <f>IF(B6&lt;=195000, "да", "нет")</f>
        <v>да</v>
      </c>
    </row>
    <row r="7" spans="1:17" x14ac:dyDescent="0.25">
      <c r="A7" s="2" t="s">
        <v>4</v>
      </c>
      <c r="B7" s="2">
        <v>120000</v>
      </c>
      <c r="C7" s="2">
        <v>55000</v>
      </c>
      <c r="D7" s="2">
        <v>60000</v>
      </c>
      <c r="E7" s="2">
        <v>50000</v>
      </c>
      <c r="F7" s="2"/>
      <c r="G7" s="3">
        <v>0.09</v>
      </c>
      <c r="H7" s="3">
        <v>3</v>
      </c>
      <c r="I7" s="3">
        <v>3</v>
      </c>
      <c r="J7" s="3">
        <v>4</v>
      </c>
      <c r="K7" s="3">
        <v>4</v>
      </c>
      <c r="M7" s="2" t="s">
        <v>4</v>
      </c>
      <c r="N7" s="2">
        <v>120000</v>
      </c>
      <c r="O7" s="5">
        <f>NPV(G7,C7:E7)-B7</f>
        <v>19568.689195377083</v>
      </c>
      <c r="P7" s="6">
        <f>O7/B7</f>
        <v>0.16307240996147568</v>
      </c>
      <c r="Q7" s="2" t="str">
        <f>IF(B7&lt;=195000, "да", "нет")</f>
        <v>да</v>
      </c>
    </row>
    <row r="16" spans="1:17" x14ac:dyDescent="0.25">
      <c r="O16" t="s">
        <v>21</v>
      </c>
    </row>
    <row r="17" spans="1:18" ht="30" x14ac:dyDescent="0.25">
      <c r="A17" s="32"/>
      <c r="B17" s="32" t="s">
        <v>11</v>
      </c>
      <c r="C17" s="33" t="s">
        <v>5</v>
      </c>
      <c r="D17" s="34"/>
      <c r="E17" s="34"/>
      <c r="F17" s="35"/>
      <c r="G17" s="32" t="s">
        <v>6</v>
      </c>
      <c r="H17" s="32" t="s">
        <v>7</v>
      </c>
      <c r="I17" s="32" t="s">
        <v>8</v>
      </c>
      <c r="J17" s="32" t="s">
        <v>9</v>
      </c>
      <c r="K17" s="32" t="s">
        <v>10</v>
      </c>
      <c r="L17" s="32" t="s">
        <v>12</v>
      </c>
      <c r="M17" s="32" t="s">
        <v>13</v>
      </c>
      <c r="N17" s="36" t="s">
        <v>14</v>
      </c>
      <c r="O17" s="23" t="s">
        <v>15</v>
      </c>
      <c r="P17" s="24" t="s">
        <v>16</v>
      </c>
      <c r="Q17" s="24" t="s">
        <v>17</v>
      </c>
      <c r="R17" s="25" t="s">
        <v>18</v>
      </c>
    </row>
    <row r="18" spans="1:18" x14ac:dyDescent="0.25">
      <c r="A18" s="27" t="s">
        <v>0</v>
      </c>
      <c r="B18" s="27">
        <v>135000</v>
      </c>
      <c r="C18" s="27">
        <v>75000</v>
      </c>
      <c r="D18" s="27">
        <v>85000</v>
      </c>
      <c r="E18" s="27">
        <v>65000</v>
      </c>
      <c r="F18" s="27"/>
      <c r="G18" s="27">
        <v>0.1</v>
      </c>
      <c r="H18" s="27">
        <v>3</v>
      </c>
      <c r="I18" s="27">
        <v>3</v>
      </c>
      <c r="J18" s="27">
        <v>4</v>
      </c>
      <c r="K18" s="27">
        <v>5</v>
      </c>
      <c r="L18" s="28">
        <f>NPV(G18,C18:E18)-B18</f>
        <v>52265.214124718215</v>
      </c>
      <c r="M18" s="29">
        <f>L18/B18</f>
        <v>0.38714973425717197</v>
      </c>
      <c r="N18" s="30" t="str">
        <f>IF(B18&lt;=195000, "да", "нет")</f>
        <v>да</v>
      </c>
      <c r="O18" s="13">
        <f>(L18-MIN(NPV))/(MAX(NPV)-MIN(NPV))*4+1</f>
        <v>5</v>
      </c>
      <c r="P18" s="14">
        <f>(M18-MIN(ROI))/(MAX(ROI)-MIN(ROI))*4+1</f>
        <v>5</v>
      </c>
      <c r="Q18" s="15">
        <f>(MAX(риск)-I18)/(MAX(риск)-MIN(риск))*4+1</f>
        <v>3</v>
      </c>
      <c r="R18" s="16">
        <f>O18*0.4 +P18*0.25+Q18*0.15+J18*0.1+K18*0.1</f>
        <v>4.6000000000000005</v>
      </c>
    </row>
    <row r="19" spans="1:18" x14ac:dyDescent="0.25">
      <c r="A19" s="27" t="s">
        <v>1</v>
      </c>
      <c r="B19" s="27">
        <v>100000</v>
      </c>
      <c r="C19" s="27">
        <v>45000</v>
      </c>
      <c r="D19" s="27">
        <v>40000</v>
      </c>
      <c r="E19" s="27">
        <v>55000</v>
      </c>
      <c r="F19" s="27"/>
      <c r="G19" s="31">
        <v>0.09</v>
      </c>
      <c r="H19" s="31">
        <v>3</v>
      </c>
      <c r="I19" s="31">
        <v>2</v>
      </c>
      <c r="J19" s="31">
        <v>5</v>
      </c>
      <c r="K19" s="31">
        <v>3</v>
      </c>
      <c r="L19" s="28">
        <f>NPV(G19,C19:E19)-B19</f>
        <v>17421.69480374569</v>
      </c>
      <c r="M19" s="29">
        <f>L19/B19</f>
        <v>0.17421694803745691</v>
      </c>
      <c r="N19" s="30" t="str">
        <f>IF(B19&lt;=195000, "да", "нет")</f>
        <v>да</v>
      </c>
      <c r="O19" s="17">
        <f>(L19-MIN(NPV))/(MAX(NPV)-MIN(NPV))*4+1</f>
        <v>3.293863235437688</v>
      </c>
      <c r="P19" s="12">
        <f>(M19-MIN(ROI))/(MAX(ROI)-MIN(ROI))*4+1</f>
        <v>3.4937933498749976</v>
      </c>
      <c r="Q19" s="2">
        <f>(MAX(риск)-I19)/(MAX(риск)-MIN(риск))*4+1</f>
        <v>5</v>
      </c>
      <c r="R19" s="18">
        <f t="shared" ref="R19:R21" si="0">O19*0.4 +P19*0.25+Q19*0.15+J19*0.1+K19*0.1</f>
        <v>3.7409936316438248</v>
      </c>
    </row>
    <row r="20" spans="1:18" x14ac:dyDescent="0.25">
      <c r="A20" s="27" t="s">
        <v>3</v>
      </c>
      <c r="B20" s="27">
        <v>165000</v>
      </c>
      <c r="C20" s="27">
        <v>30000</v>
      </c>
      <c r="D20" s="27">
        <v>40000</v>
      </c>
      <c r="E20" s="27">
        <v>50000</v>
      </c>
      <c r="F20" s="31">
        <v>60000</v>
      </c>
      <c r="G20" s="31">
        <v>0.11</v>
      </c>
      <c r="H20" s="31">
        <v>4</v>
      </c>
      <c r="I20" s="31">
        <v>4</v>
      </c>
      <c r="J20" s="31">
        <v>1</v>
      </c>
      <c r="K20" s="31">
        <v>2</v>
      </c>
      <c r="L20" s="28">
        <f>NPV(G20,C20:F20)-B20</f>
        <v>-29424.648129463254</v>
      </c>
      <c r="M20" s="29">
        <f>L20/B20</f>
        <v>-0.17833120078462578</v>
      </c>
      <c r="N20" s="30" t="str">
        <f>IF(B20&lt;=195000, "да", "нет")</f>
        <v>да</v>
      </c>
      <c r="O20" s="17">
        <f>(L20-MIN(NPV))/(MAX(NPV)-MIN(NPV))*4+1</f>
        <v>1</v>
      </c>
      <c r="P20" s="12">
        <f>(M20-MIN(ROI))/(MAX(ROI)-MIN(ROI))*4+1</f>
        <v>1</v>
      </c>
      <c r="Q20" s="2">
        <f>(MAX(риск)-I20)/(MAX(риск)-MIN(риск))*4+1</f>
        <v>1</v>
      </c>
      <c r="R20" s="18">
        <f t="shared" si="0"/>
        <v>1.1000000000000001</v>
      </c>
    </row>
    <row r="21" spans="1:18" x14ac:dyDescent="0.25">
      <c r="A21" s="27" t="s">
        <v>4</v>
      </c>
      <c r="B21" s="27">
        <v>120000</v>
      </c>
      <c r="C21" s="27">
        <v>55000</v>
      </c>
      <c r="D21" s="27">
        <v>60000</v>
      </c>
      <c r="E21" s="27">
        <v>50000</v>
      </c>
      <c r="F21" s="27"/>
      <c r="G21" s="31">
        <v>0.09</v>
      </c>
      <c r="H21" s="31">
        <v>3</v>
      </c>
      <c r="I21" s="31">
        <v>3</v>
      </c>
      <c r="J21" s="31">
        <v>4</v>
      </c>
      <c r="K21" s="31">
        <v>4</v>
      </c>
      <c r="L21" s="28">
        <f t="shared" ref="L21" si="1">NPV(G21,C21:E21)-B21</f>
        <v>19568.689195377083</v>
      </c>
      <c r="M21" s="29">
        <f>L21/B21</f>
        <v>0.16307240996147568</v>
      </c>
      <c r="N21" s="30" t="str">
        <f>IF(B21&lt;=195000, "да", "нет")</f>
        <v>да</v>
      </c>
      <c r="O21" s="19">
        <f>(L21-MIN(NPV))/(MAX(NPV)-MIN(NPV))*4+1</f>
        <v>3.39899228486372</v>
      </c>
      <c r="P21" s="20">
        <f>(M21-MIN(ROI))/(MAX(ROI)-MIN(ROI))*4+1</f>
        <v>3.4149610682868841</v>
      </c>
      <c r="Q21" s="21">
        <f>(MAX(риск)-I21)/(MAX(риск)-MIN(риск))*4+1</f>
        <v>3</v>
      </c>
      <c r="R21" s="22">
        <f t="shared" si="0"/>
        <v>3.4633371810172084</v>
      </c>
    </row>
  </sheetData>
  <mergeCells count="2">
    <mergeCell ref="C2:F2"/>
    <mergeCell ref="C17:F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92FC-FC90-45B8-8416-77E93CB6E116}">
  <dimension ref="A1"/>
  <sheetViews>
    <sheetView workbookViewId="0">
      <selection activeCell="I29" sqref="I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Лист1</vt:lpstr>
      <vt:lpstr>Лист2</vt:lpstr>
      <vt:lpstr>Лист3</vt:lpstr>
      <vt:lpstr>NPV</vt:lpstr>
      <vt:lpstr>ROI</vt:lpstr>
      <vt:lpstr>риск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2026-09-01T12:06:51Z</dcterms:created>
  <dcterms:modified xsi:type="dcterms:W3CDTF">2026-09-01T13:10:39Z</dcterms:modified>
</cp:coreProperties>
</file>