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tud\Desktop\"/>
    </mc:Choice>
  </mc:AlternateContent>
  <xr:revisionPtr revIDLastSave="0" documentId="8_{78C07DA3-8555-4593-A6D8-269E8E662CE0}" xr6:coauthVersionLast="47" xr6:coauthVersionMax="47" xr10:uidLastSave="{00000000-0000-0000-0000-000000000000}"/>
  <bookViews>
    <workbookView xWindow="-120" yWindow="-120" windowWidth="29040" windowHeight="15720" activeTab="2" xr2:uid="{1AAC5397-3529-4FA2-9CD9-E78ADEDDF92E}"/>
  </bookViews>
  <sheets>
    <sheet name="Лист3" sheetId="3" r:id="rId1"/>
    <sheet name="Лист1" sheetId="1" r:id="rId2"/>
    <sheet name="Лист2" sheetId="2" r:id="rId3"/>
  </sheets>
  <definedNames>
    <definedName name="Проект">Лист1!$A$3:$K$8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1" l="1"/>
  <c r="D23" i="1" s="1"/>
  <c r="E39" i="1"/>
  <c r="E38" i="1"/>
  <c r="E37" i="1"/>
  <c r="E36" i="1"/>
  <c r="E24" i="1"/>
  <c r="E23" i="1"/>
  <c r="E22" i="1"/>
  <c r="E21" i="1"/>
  <c r="E20" i="1"/>
  <c r="C24" i="1"/>
  <c r="D24" i="1" s="1"/>
  <c r="C22" i="1"/>
  <c r="D22" i="1" s="1"/>
  <c r="C21" i="1"/>
  <c r="C20" i="1"/>
  <c r="B36" i="1" s="1"/>
  <c r="B37" i="1" l="1"/>
  <c r="B39" i="1"/>
  <c r="B38" i="1"/>
  <c r="D20" i="1"/>
  <c r="C38" i="1" s="1"/>
  <c r="D21" i="1"/>
  <c r="C37" i="1" s="1"/>
  <c r="C39" i="1" l="1"/>
  <c r="H39" i="1" s="1"/>
  <c r="C36" i="1"/>
  <c r="H36" i="1" s="1"/>
  <c r="H38" i="1"/>
  <c r="H37" i="1"/>
</calcChain>
</file>

<file path=xl/sharedStrings.xml><?xml version="1.0" encoding="utf-8"?>
<sst xmlns="http://schemas.openxmlformats.org/spreadsheetml/2006/main" count="51" uniqueCount="39">
  <si>
    <t>Проект</t>
  </si>
  <si>
    <t>А1</t>
  </si>
  <si>
    <t>А2</t>
  </si>
  <si>
    <t>А3</t>
  </si>
  <si>
    <t>А4</t>
  </si>
  <si>
    <t>А5</t>
  </si>
  <si>
    <t>Инвестиции, руб</t>
  </si>
  <si>
    <t>Потоки, руб</t>
  </si>
  <si>
    <t>Ставка</t>
  </si>
  <si>
    <t>Горизонт, лет</t>
  </si>
  <si>
    <t>Риск</t>
  </si>
  <si>
    <t>Простота</t>
  </si>
  <si>
    <t>Инновационность</t>
  </si>
  <si>
    <t>Таблица 1. Альтернативы</t>
  </si>
  <si>
    <t>Проблема:</t>
  </si>
  <si>
    <t>Необходимо выбрать оптимальный иннвестиционный проект для вложения средств в стартап.</t>
  </si>
  <si>
    <t>Таблица 2. Расчеты</t>
  </si>
  <si>
    <t xml:space="preserve">Проеткы </t>
  </si>
  <si>
    <t>NVP</t>
  </si>
  <si>
    <t>ROI,%</t>
  </si>
  <si>
    <t>Допустимость</t>
  </si>
  <si>
    <t xml:space="preserve">Проект </t>
  </si>
  <si>
    <t>ROI %(норм)</t>
  </si>
  <si>
    <t>простота</t>
  </si>
  <si>
    <t>взвешанная сумма</t>
  </si>
  <si>
    <t>Риск  (норм)</t>
  </si>
  <si>
    <t>NVP                   (норм)</t>
  </si>
  <si>
    <t>A1</t>
  </si>
  <si>
    <t>A2</t>
  </si>
  <si>
    <t>A4</t>
  </si>
  <si>
    <t>A5</t>
  </si>
  <si>
    <t>Таблица 3. Расчеты</t>
  </si>
  <si>
    <t>Цель: Максимализация чистой приведенной стоимости(NVP) и рентабельности инвестиций (ROI) при минимизации риска с учетом простоты реализации и ценности проекта.</t>
  </si>
  <si>
    <t>Ограничение: Объём инвестиций не должен превышать 180 000 рублей.</t>
  </si>
  <si>
    <t>дата:01.09.2026</t>
  </si>
  <si>
    <t xml:space="preserve">Родионова Ирина Олеговна </t>
  </si>
  <si>
    <t>ИТД-223</t>
  </si>
  <si>
    <t>СППУР-лр-ч1</t>
  </si>
  <si>
    <t>Вывод: В ходе лабораторной работы, мы выбрали оптимальный инвестиционный проект для вложения средств в стартап, им оказалась альтерностива под номером один с инвестицией в 140 000 рублей. У нее средний бюджет, выоская инвестиционность, простота   и ставка.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</si>
</sst>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3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2" fontId="1" fillId="2" borderId="1" xfId="1" applyNumberFormat="1" applyBorder="1" applyAlignment="1">
      <alignment horizontal="center"/>
    </xf>
    <xf numFmtId="0" fontId="0" fillId="0" borderId="0" xfId="0" applyFill="1" applyBorder="1"/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NVP</a:t>
            </a:r>
            <a:r>
              <a:rPr lang="ru-RU"/>
              <a:t>,</a:t>
            </a:r>
            <a:r>
              <a:rPr lang="ru-RU" baseline="0"/>
              <a:t> руб</a:t>
            </a:r>
            <a:endParaRPr lang="en-US"/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Лист2!$A$1:$A$4</c:f>
              <c:strCache>
                <c:ptCount val="4"/>
                <c:pt idx="0">
                  <c:v>A1</c:v>
                </c:pt>
                <c:pt idx="1">
                  <c:v>A2</c:v>
                </c:pt>
                <c:pt idx="2">
                  <c:v>A4</c:v>
                </c:pt>
                <c:pt idx="3">
                  <c:v>A5</c:v>
                </c:pt>
              </c:strCache>
            </c:strRef>
          </c:cat>
          <c:val>
            <c:numRef>
              <c:f>Лист2!$B$1:$B$4</c:f>
              <c:numCache>
                <c:formatCode>General</c:formatCode>
                <c:ptCount val="4"/>
                <c:pt idx="0">
                  <c:v>47265.214124718215</c:v>
                </c:pt>
                <c:pt idx="1">
                  <c:v>23560.77740344037</c:v>
                </c:pt>
                <c:pt idx="2">
                  <c:v>-51729.933000933743</c:v>
                </c:pt>
                <c:pt idx="3">
                  <c:v>29568.689195377083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2-490C-81DB-CDFF17889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366896"/>
        <c:axId val="876356080"/>
      </c:barChart>
      <c:catAx>
        <c:axId val="87636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356080"/>
        <c:crosses val="autoZero"/>
        <c:auto val="1"/>
        <c:lblAlgn val="ctr"/>
        <c:lblOffset val="100"/>
        <c:noMultiLvlLbl val="0"/>
      </c:catAx>
      <c:valAx>
        <c:axId val="87635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36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POI,%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Лист2!$A$1:$A$4</c:f>
              <c:strCache>
                <c:ptCount val="4"/>
                <c:pt idx="0">
                  <c:v>A1</c:v>
                </c:pt>
                <c:pt idx="1">
                  <c:v>A2</c:v>
                </c:pt>
                <c:pt idx="2">
                  <c:v>A4</c:v>
                </c:pt>
                <c:pt idx="3">
                  <c:v>A5</c:v>
                </c:pt>
              </c:strCache>
            </c:strRef>
          </c:cat>
          <c:val>
            <c:numRef>
              <c:f>Лист2!$C$1:$C$4</c:f>
              <c:numCache>
                <c:formatCode>General</c:formatCode>
                <c:ptCount val="4"/>
                <c:pt idx="0">
                  <c:v>33.760867231941582</c:v>
                </c:pt>
                <c:pt idx="1">
                  <c:v>26.178641559378192</c:v>
                </c:pt>
                <c:pt idx="2">
                  <c:v>-32.331208125583586</c:v>
                </c:pt>
                <c:pt idx="3">
                  <c:v>26.880626541251896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3-4DE5-A6D5-8545E2ECD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364816"/>
        <c:axId val="876365648"/>
      </c:barChart>
      <c:catAx>
        <c:axId val="87636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365648"/>
        <c:crosses val="autoZero"/>
        <c:auto val="1"/>
        <c:lblAlgn val="ctr"/>
        <c:lblOffset val="100"/>
        <c:noMultiLvlLbl val="0"/>
      </c:catAx>
      <c:valAx>
        <c:axId val="87636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36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Лист2!$A$1:$A$4</c:f>
              <c:strCache>
                <c:ptCount val="4"/>
                <c:pt idx="0">
                  <c:v>A1</c:v>
                </c:pt>
                <c:pt idx="1">
                  <c:v>A2</c:v>
                </c:pt>
                <c:pt idx="2">
                  <c:v>A4</c:v>
                </c:pt>
                <c:pt idx="3">
                  <c:v>A5</c:v>
                </c:pt>
              </c:strCache>
            </c:strRef>
          </c:cat>
          <c:val>
            <c:numRef>
              <c:f>Лист2!$D$1:$D$4</c:f>
              <c:numCache>
                <c:formatCode>General</c:formatCode>
                <c:ptCount val="4"/>
                <c:pt idx="0">
                  <c:v>4.5</c:v>
                </c:pt>
                <c:pt idx="1">
                  <c:v>4.1792126196907722</c:v>
                </c:pt>
                <c:pt idx="2">
                  <c:v>1.85</c:v>
                </c:pt>
                <c:pt idx="3">
                  <c:v>4.0390605260422339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B-499A-84C9-BD3C65407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363568"/>
        <c:axId val="876369392"/>
      </c:barChart>
      <c:catAx>
        <c:axId val="87636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369392"/>
        <c:crosses val="autoZero"/>
        <c:auto val="1"/>
        <c:lblAlgn val="ctr"/>
        <c:lblOffset val="100"/>
        <c:noMultiLvlLbl val="0"/>
      </c:catAx>
      <c:valAx>
        <c:axId val="87636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36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147637</xdr:colOff>
      <xdr:row>6</xdr:row>
      <xdr:rowOff>176212</xdr:rowOff>
    </xdr:from>
    <xdr:to>
      <xdr:col>9</xdr:col>
      <xdr:colOff>452437</xdr:colOff>
      <xdr:row>21</xdr:row>
      <xdr:rowOff>61912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BEB0E7-8511-4508-BEC5-3BAFD7298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366712</xdr:colOff>
      <xdr:row>6</xdr:row>
      <xdr:rowOff>157162</xdr:rowOff>
    </xdr:from>
    <xdr:to>
      <xdr:col>18</xdr:col>
      <xdr:colOff>61912</xdr:colOff>
      <xdr:row>21</xdr:row>
      <xdr:rowOff>42862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F9D9A1C-CEBB-46E4-9AE6-08ABD5F48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300037</xdr:colOff>
      <xdr:row>22</xdr:row>
      <xdr:rowOff>128587</xdr:rowOff>
    </xdr:from>
    <xdr:to>
      <xdr:col>16</xdr:col>
      <xdr:colOff>604837</xdr:colOff>
      <xdr:row>37</xdr:row>
      <xdr:rowOff>14287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584E6F1-A55B-4205-8902-D7E3BDBD6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F31E-D933-48A6-9B9A-7A8276075C71}">
  <dimension ref="A1:A4"/>
  <sheetViews>
    <sheetView workbookViewId="0">
      <selection activeCell="C4" sqref="C4"/>
    </sheetView>
  </sheetViews>
  <sheetFormatPr defaultRowHeight="15" x14ac:dyDescent="0.25"/>
  <sheetData>
    <row r="1" spans="1:1" x14ac:dyDescent="0.25">
      <c r="A1" t="s">
        <v>34</v>
      </c>
    </row>
    <row r="2" spans="1:1" x14ac:dyDescent="0.25">
      <c r="A2" t="s">
        <v>35</v>
      </c>
    </row>
    <row r="3" spans="1:1" x14ac:dyDescent="0.25">
      <c r="A3" t="s">
        <v>36</v>
      </c>
    </row>
    <row r="4" spans="1:1" x14ac:dyDescent="0.25">
      <c r="A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A1FA-44C7-4E17-B2F7-AFF6A113A5FE}">
  <dimension ref="A1:N39"/>
  <sheetViews>
    <sheetView topLeftCell="A16" workbookViewId="0">
      <selection activeCell="A65" sqref="A65"/>
    </sheetView>
  </sheetViews>
  <sheetFormatPr defaultRowHeight="15" x14ac:dyDescent="0.25"/>
  <cols>
    <col min="1" max="1" width="11.7109375" customWidth="1"/>
    <col min="2" max="2" width="17.85546875" customWidth="1"/>
    <col min="3" max="3" width="11.5703125" customWidth="1"/>
    <col min="5" max="5" width="11.5703125" bestFit="1" customWidth="1"/>
    <col min="8" max="8" width="13.28515625" customWidth="1"/>
    <col min="11" max="11" width="17.28515625" customWidth="1"/>
  </cols>
  <sheetData>
    <row r="1" spans="1:14" x14ac:dyDescent="0.25">
      <c r="N1" s="8"/>
    </row>
    <row r="2" spans="1:14" x14ac:dyDescent="0.25">
      <c r="A2" s="7" t="s">
        <v>13</v>
      </c>
      <c r="N2" s="8"/>
    </row>
    <row r="3" spans="1:14" ht="34.5" customHeight="1" x14ac:dyDescent="0.25">
      <c r="A3" s="3" t="s">
        <v>0</v>
      </c>
      <c r="B3" s="3" t="s">
        <v>6</v>
      </c>
      <c r="C3" s="12" t="s">
        <v>7</v>
      </c>
      <c r="D3" s="12"/>
      <c r="E3" s="12"/>
      <c r="F3" s="12"/>
      <c r="G3" s="3" t="s">
        <v>8</v>
      </c>
      <c r="H3" s="4" t="s">
        <v>9</v>
      </c>
      <c r="I3" s="3" t="s">
        <v>10</v>
      </c>
      <c r="J3" s="3" t="s">
        <v>11</v>
      </c>
      <c r="K3" s="3" t="s">
        <v>12</v>
      </c>
      <c r="N3" s="8"/>
    </row>
    <row r="4" spans="1:14" x14ac:dyDescent="0.25">
      <c r="A4" s="2" t="s">
        <v>1</v>
      </c>
      <c r="B4" s="5">
        <v>140000</v>
      </c>
      <c r="C4" s="5">
        <v>75000</v>
      </c>
      <c r="D4" s="5">
        <v>85000</v>
      </c>
      <c r="E4" s="5">
        <v>65000</v>
      </c>
      <c r="F4" s="6"/>
      <c r="G4" s="6">
        <v>0.1</v>
      </c>
      <c r="H4" s="6">
        <v>3</v>
      </c>
      <c r="I4" s="6">
        <v>3</v>
      </c>
      <c r="J4" s="6">
        <v>4</v>
      </c>
      <c r="K4" s="6">
        <v>5</v>
      </c>
      <c r="N4" s="8"/>
    </row>
    <row r="5" spans="1:14" x14ac:dyDescent="0.25">
      <c r="A5" s="2" t="s">
        <v>2</v>
      </c>
      <c r="B5" s="5">
        <v>90000</v>
      </c>
      <c r="C5" s="5">
        <v>45000</v>
      </c>
      <c r="D5" s="5">
        <v>40000</v>
      </c>
      <c r="E5" s="5">
        <v>50000</v>
      </c>
      <c r="F5" s="6"/>
      <c r="G5" s="6">
        <v>0.09</v>
      </c>
      <c r="H5" s="6">
        <v>3</v>
      </c>
      <c r="I5" s="6">
        <v>2</v>
      </c>
      <c r="J5" s="6">
        <v>5</v>
      </c>
      <c r="K5" s="6">
        <v>3</v>
      </c>
      <c r="N5" s="8"/>
    </row>
    <row r="6" spans="1:14" x14ac:dyDescent="0.25">
      <c r="A6" s="2" t="s">
        <v>3</v>
      </c>
      <c r="B6" s="5">
        <v>200000</v>
      </c>
      <c r="C6" s="5">
        <v>95000</v>
      </c>
      <c r="D6" s="5">
        <v>105000</v>
      </c>
      <c r="E6" s="5">
        <v>85000</v>
      </c>
      <c r="F6" s="6"/>
      <c r="G6" s="6">
        <v>0.08</v>
      </c>
      <c r="H6" s="6">
        <v>3</v>
      </c>
      <c r="I6" s="6">
        <v>4</v>
      </c>
      <c r="J6" s="6">
        <v>2</v>
      </c>
      <c r="K6" s="6">
        <v>4</v>
      </c>
    </row>
    <row r="7" spans="1:14" x14ac:dyDescent="0.25">
      <c r="A7" s="2" t="s">
        <v>4</v>
      </c>
      <c r="B7" s="5">
        <v>160000</v>
      </c>
      <c r="C7" s="5">
        <v>35000</v>
      </c>
      <c r="D7" s="5">
        <v>45000</v>
      </c>
      <c r="E7" s="5">
        <v>55000</v>
      </c>
      <c r="F7" s="5">
        <v>65000</v>
      </c>
      <c r="G7" s="6">
        <v>0.11</v>
      </c>
      <c r="H7" s="6">
        <v>4</v>
      </c>
      <c r="I7" s="6">
        <v>1</v>
      </c>
      <c r="J7" s="6">
        <v>3</v>
      </c>
      <c r="K7" s="6">
        <v>2</v>
      </c>
    </row>
    <row r="8" spans="1:14" x14ac:dyDescent="0.25">
      <c r="A8" s="2" t="s">
        <v>5</v>
      </c>
      <c r="B8" s="5">
        <v>110000</v>
      </c>
      <c r="C8" s="5">
        <v>55000</v>
      </c>
      <c r="D8" s="5">
        <v>60000</v>
      </c>
      <c r="E8" s="5">
        <v>50000</v>
      </c>
      <c r="F8" s="6"/>
      <c r="G8" s="6">
        <v>0.09</v>
      </c>
      <c r="H8" s="6">
        <v>3</v>
      </c>
      <c r="I8" s="6">
        <v>3</v>
      </c>
      <c r="J8" s="6">
        <v>4</v>
      </c>
      <c r="K8" s="6">
        <v>4</v>
      </c>
    </row>
    <row r="9" spans="1:14" x14ac:dyDescent="0.25">
      <c r="A9" s="7" t="s">
        <v>14</v>
      </c>
      <c r="B9" t="s">
        <v>15</v>
      </c>
    </row>
    <row r="10" spans="1:14" x14ac:dyDescent="0.25">
      <c r="A10" s="17" t="s">
        <v>32</v>
      </c>
    </row>
    <row r="11" spans="1:14" x14ac:dyDescent="0.25">
      <c r="A11" s="17" t="s">
        <v>33</v>
      </c>
    </row>
    <row r="18" spans="1:6" x14ac:dyDescent="0.25">
      <c r="A18" s="7" t="s">
        <v>16</v>
      </c>
    </row>
    <row r="19" spans="1:6" x14ac:dyDescent="0.25">
      <c r="A19" s="13" t="s">
        <v>17</v>
      </c>
      <c r="B19" s="13" t="s">
        <v>6</v>
      </c>
      <c r="C19" s="13" t="s">
        <v>18</v>
      </c>
      <c r="D19" s="13" t="s">
        <v>19</v>
      </c>
      <c r="E19" s="14" t="s">
        <v>20</v>
      </c>
      <c r="F19" s="14"/>
    </row>
    <row r="20" spans="1:6" x14ac:dyDescent="0.25">
      <c r="A20" s="1" t="s">
        <v>1</v>
      </c>
      <c r="B20" s="5">
        <v>140000</v>
      </c>
      <c r="C20" s="8">
        <f>NPV(G4,C4:E4)-B4</f>
        <v>47265.214124718215</v>
      </c>
      <c r="D20" s="1">
        <f>(C20/B20)*100</f>
        <v>33.760867231941582</v>
      </c>
      <c r="E20" s="9" t="str">
        <f>IF(B20&lt;=180000,"да","нет")</f>
        <v>да</v>
      </c>
      <c r="F20" s="10"/>
    </row>
    <row r="21" spans="1:6" x14ac:dyDescent="0.25">
      <c r="A21" s="1" t="s">
        <v>2</v>
      </c>
      <c r="B21" s="5">
        <v>90000</v>
      </c>
      <c r="C21" s="8">
        <f>NPV(G5,C5:E5)-B5</f>
        <v>23560.77740344037</v>
      </c>
      <c r="D21" s="1">
        <f>(C21/B21)*100</f>
        <v>26.178641559378192</v>
      </c>
      <c r="E21" s="9" t="str">
        <f>IF(B21&lt;=180000,"да","нет")</f>
        <v>да</v>
      </c>
      <c r="F21" s="10"/>
    </row>
    <row r="22" spans="1:6" x14ac:dyDescent="0.25">
      <c r="A22" s="1" t="s">
        <v>3</v>
      </c>
      <c r="B22" s="5">
        <v>200000</v>
      </c>
      <c r="C22" s="8">
        <f>NPV(G6,C6:E6)-B6</f>
        <v>45459.279581364564</v>
      </c>
      <c r="D22" s="1">
        <f>(C22/B22)*100</f>
        <v>22.729639790682281</v>
      </c>
      <c r="E22" s="9" t="str">
        <f>IF(B22&lt;=180000,"да","нет")</f>
        <v>нет</v>
      </c>
      <c r="F22" s="10"/>
    </row>
    <row r="23" spans="1:6" x14ac:dyDescent="0.25">
      <c r="A23" s="1" t="s">
        <v>4</v>
      </c>
      <c r="B23" s="5">
        <v>160000</v>
      </c>
      <c r="C23" s="18">
        <f>NPV(G7,C7:E7)-B7</f>
        <v>-51729.933000933743</v>
      </c>
      <c r="D23" s="19">
        <f>(C23/B23)*100</f>
        <v>-32.331208125583586</v>
      </c>
      <c r="E23" s="9" t="str">
        <f>IF(B23&lt;=180000,"да","нет")</f>
        <v>да</v>
      </c>
      <c r="F23" s="10"/>
    </row>
    <row r="24" spans="1:6" x14ac:dyDescent="0.25">
      <c r="A24" s="1" t="s">
        <v>5</v>
      </c>
      <c r="B24" s="5">
        <v>110000</v>
      </c>
      <c r="C24" s="8">
        <f>NPV(G8,C8:E8)-B8</f>
        <v>29568.689195377083</v>
      </c>
      <c r="D24" s="1">
        <f>(C24/B24)*100</f>
        <v>26.880626541251896</v>
      </c>
      <c r="E24" s="9" t="str">
        <f>IF(B24&lt;=180000,"да","нет")</f>
        <v>да</v>
      </c>
      <c r="F24" s="10"/>
    </row>
    <row r="34" spans="1:8" x14ac:dyDescent="0.25">
      <c r="A34" s="7" t="s">
        <v>31</v>
      </c>
    </row>
    <row r="35" spans="1:8" ht="45" x14ac:dyDescent="0.25">
      <c r="A35" s="11" t="s">
        <v>21</v>
      </c>
      <c r="B35" s="11" t="s">
        <v>26</v>
      </c>
      <c r="C35" s="11" t="s">
        <v>22</v>
      </c>
      <c r="D35" s="11" t="s">
        <v>10</v>
      </c>
      <c r="E35" s="11" t="s">
        <v>25</v>
      </c>
      <c r="F35" s="11" t="s">
        <v>23</v>
      </c>
      <c r="G35" s="11" t="s">
        <v>12</v>
      </c>
      <c r="H35" s="11" t="s">
        <v>24</v>
      </c>
    </row>
    <row r="36" spans="1:8" x14ac:dyDescent="0.25">
      <c r="A36" s="6" t="s">
        <v>1</v>
      </c>
      <c r="B36" s="15">
        <f>(C20-MIN(C23))/(MAX(C20)-MIN(C23))*4+1</f>
        <v>5</v>
      </c>
      <c r="C36" s="15">
        <f>(D20-MIN(D23))/(MAX(D20)-MIN(D23))*4+1</f>
        <v>5</v>
      </c>
      <c r="D36" s="6">
        <v>3</v>
      </c>
      <c r="E36" s="15">
        <f>(MAX(I6)-D36)/(MAX(I6)-MIN(I7))*4+1</f>
        <v>2.333333333333333</v>
      </c>
      <c r="F36" s="6">
        <v>4</v>
      </c>
      <c r="G36" s="6">
        <v>5</v>
      </c>
      <c r="H36" s="16">
        <f>B36*0.4+C36*0.3+E36*0.15+F36*0.1+G36*0.05</f>
        <v>4.5</v>
      </c>
    </row>
    <row r="37" spans="1:8" x14ac:dyDescent="0.25">
      <c r="A37" s="6" t="s">
        <v>2</v>
      </c>
      <c r="B37" s="15">
        <f>(C21-MIN(C23))/(MAX(C20)-MIN(C23))*4+1</f>
        <v>4.0421980305280858</v>
      </c>
      <c r="C37" s="15">
        <f>(D21-MIN(D23))/(MAX(D20)-MIN(D23))*4+1</f>
        <v>4.5411113582651268</v>
      </c>
      <c r="D37" s="6">
        <v>2</v>
      </c>
      <c r="E37" s="15">
        <f>(MAX(I6)-D37)/(MAX(I6)-MIN(I7))*4+1</f>
        <v>3.6666666666666665</v>
      </c>
      <c r="F37" s="6">
        <v>5</v>
      </c>
      <c r="G37" s="6">
        <v>3</v>
      </c>
      <c r="H37" s="15">
        <f>B37*0.4+C37*0.3+E37*0.15+F37*0.1+G37*0.05</f>
        <v>4.1792126196907722</v>
      </c>
    </row>
    <row r="38" spans="1:8" x14ac:dyDescent="0.25">
      <c r="A38" s="6" t="s">
        <v>4</v>
      </c>
      <c r="B38" s="15">
        <f>(C23-MIN(C23))/(MAX(C20)-MIN(C23))*4+1</f>
        <v>1</v>
      </c>
      <c r="C38" s="15">
        <f>(D23-MIN(D23))/(MAX(D20)-MIN(D23))*4+1</f>
        <v>1</v>
      </c>
      <c r="D38" s="6">
        <v>1</v>
      </c>
      <c r="E38" s="6">
        <f>(MAX(I6)-D38)/(MAX(I6)-MIN(I7))*4+1</f>
        <v>5</v>
      </c>
      <c r="F38" s="6">
        <v>3</v>
      </c>
      <c r="G38" s="6">
        <v>2</v>
      </c>
      <c r="H38" s="15">
        <f>B38*0.4+C38*0.3+E38*0.15+F38*0.1+G38*0.05</f>
        <v>1.85</v>
      </c>
    </row>
    <row r="39" spans="1:8" x14ac:dyDescent="0.25">
      <c r="A39" s="6" t="s">
        <v>5</v>
      </c>
      <c r="B39" s="15">
        <f>(C24-MIN(C23))/(MAX(C20)-MIN(C23))*4+1</f>
        <v>4.2849538409441674</v>
      </c>
      <c r="C39" s="15">
        <f>(D24-MIN(D23))/(MAX(D20)-MIN(D23))*4+1</f>
        <v>4.5835966322152224</v>
      </c>
      <c r="D39" s="6">
        <v>3</v>
      </c>
      <c r="E39" s="15">
        <f>(MAX(I6)-D39)/(MAX(I6)-MIN(I7))*4+1</f>
        <v>2.333333333333333</v>
      </c>
      <c r="F39" s="6">
        <v>4</v>
      </c>
      <c r="G39" s="6">
        <v>4</v>
      </c>
      <c r="H39" s="15">
        <f>B39*0.4+C39*0.3+E39*0.15+F39*0.1+G39*0.05</f>
        <v>4.0390605260422339</v>
      </c>
    </row>
  </sheetData>
  <mergeCells count="7">
    <mergeCell ref="C3:F3"/>
    <mergeCell ref="E19:F19"/>
    <mergeCell ref="E20:F20"/>
    <mergeCell ref="E21:F21"/>
    <mergeCell ref="E22:F22"/>
    <mergeCell ref="E23:F23"/>
    <mergeCell ref="E24:F24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0BF7-92C0-4383-8803-E18810A97640}">
  <dimension ref="A1:D40"/>
  <sheetViews>
    <sheetView tabSelected="1" topLeftCell="A7" workbookViewId="0">
      <selection activeCell="H35" sqref="H35"/>
    </sheetView>
  </sheetViews>
  <sheetFormatPr defaultRowHeight="15" x14ac:dyDescent="0.25"/>
  <sheetData>
    <row r="1" spans="1:4" x14ac:dyDescent="0.25">
      <c r="A1" s="20" t="s">
        <v>27</v>
      </c>
      <c r="B1" s="2">
        <v>47265.214124718215</v>
      </c>
      <c r="C1" s="2">
        <v>33.760867231941582</v>
      </c>
      <c r="D1" s="2">
        <v>4.5</v>
      </c>
    </row>
    <row r="2" spans="1:4" x14ac:dyDescent="0.25">
      <c r="A2" s="20" t="s">
        <v>28</v>
      </c>
      <c r="B2" s="2">
        <v>23560.77740344037</v>
      </c>
      <c r="C2" s="2">
        <v>26.178641559378192</v>
      </c>
      <c r="D2" s="2">
        <v>4.1792126196907722</v>
      </c>
    </row>
    <row r="3" spans="1:4" x14ac:dyDescent="0.25">
      <c r="A3" s="20" t="s">
        <v>29</v>
      </c>
      <c r="B3" s="2">
        <v>-51729.933000933743</v>
      </c>
      <c r="C3" s="2">
        <v>-32.331208125583586</v>
      </c>
      <c r="D3" s="2">
        <v>1.85</v>
      </c>
    </row>
    <row r="4" spans="1:4" x14ac:dyDescent="0.25">
      <c r="A4" s="20" t="s">
        <v>30</v>
      </c>
      <c r="B4" s="2">
        <v>29568.689195377083</v>
      </c>
      <c r="C4" s="2">
        <v>26.880626541251896</v>
      </c>
      <c r="D4" s="2">
        <v>4.0390605260422339</v>
      </c>
    </row>
    <row r="40" spans="1:1" x14ac:dyDescent="0.25">
      <c r="A40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Лист3</vt:lpstr>
      <vt:lpstr>Лист1</vt:lpstr>
      <vt:lpstr>Лист2</vt:lpstr>
      <vt:lpstr>Проект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ITStud</dc:creator>
  <cp:lastModifiedBy>ITStud</cp:lastModifiedBy>
  <dcterms:created xsi:type="dcterms:W3CDTF">2026-09-01T12:05:52Z</dcterms:created>
  <dcterms:modified xsi:type="dcterms:W3CDTF">2026-09-01T13:39:14Z</dcterms:modified>
</cp:coreProperties>
</file>