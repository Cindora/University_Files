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майнорСППУР\Лабораторные работы №1\"/>
    </mc:Choice>
  </mc:AlternateContent>
  <xr:revisionPtr revIDLastSave="0" documentId="8_{FB1A6AA1-8356-48A9-BC39-127C0BDEC27C}" xr6:coauthVersionLast="47" xr6:coauthVersionMax="47" xr10:uidLastSave="{00000000-0000-0000-0000-000000000000}"/>
  <bookViews>
    <workbookView xWindow="-120" yWindow="-120" windowWidth="29040" windowHeight="15720" activeTab="2" xr2:uid="{BEF9188A-A193-4698-BE1B-62113AE0F865}"/>
  </bookViews>
  <sheets>
    <sheet name="Лист1" sheetId="1" r:id="rId1"/>
    <sheet name="Лист2" sheetId="2" r:id="rId2"/>
    <sheet name="Лист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0" i="2" l="1"/>
  <c r="H21" i="2"/>
  <c r="H22" i="2"/>
  <c r="H19" i="2"/>
  <c r="E22" i="2"/>
  <c r="E21" i="2"/>
  <c r="E20" i="2"/>
  <c r="E19" i="2"/>
  <c r="C22" i="2"/>
  <c r="C21" i="2"/>
  <c r="C20" i="2"/>
  <c r="C19" i="2"/>
  <c r="B22" i="2"/>
  <c r="B21" i="2"/>
  <c r="B20" i="2"/>
  <c r="B19" i="2"/>
  <c r="E12" i="2"/>
  <c r="E13" i="2"/>
  <c r="E14" i="2"/>
  <c r="E15" i="2"/>
  <c r="E11" i="2"/>
  <c r="C12" i="2"/>
  <c r="C13" i="2"/>
  <c r="C14" i="2"/>
  <c r="D14" i="2" s="1"/>
  <c r="C15" i="2"/>
  <c r="D15" i="2" s="1"/>
  <c r="C11" i="2"/>
  <c r="D11" i="2" s="1"/>
  <c r="D12" i="2"/>
  <c r="D13" i="2"/>
</calcChain>
</file>

<file path=xl/sharedStrings.xml><?xml version="1.0" encoding="utf-8"?>
<sst xmlns="http://schemas.openxmlformats.org/spreadsheetml/2006/main" count="47" uniqueCount="30">
  <si>
    <t>Пасичная Полина ИТД-123 Лабораторная работа № 1: Принятие решений в условиях определённости 01.09.26 Вариант 10</t>
  </si>
  <si>
    <t xml:space="preserve">Таблица 1. Данные проектов </t>
  </si>
  <si>
    <t>Проект</t>
  </si>
  <si>
    <t xml:space="preserve">Инвестиции (руб) </t>
  </si>
  <si>
    <t>Ставка</t>
  </si>
  <si>
    <t>Риск</t>
  </si>
  <si>
    <t>Простота</t>
  </si>
  <si>
    <t>Ценность</t>
  </si>
  <si>
    <t>А1</t>
  </si>
  <si>
    <t>А2</t>
  </si>
  <si>
    <t>А3</t>
  </si>
  <si>
    <t>А4</t>
  </si>
  <si>
    <t>А5</t>
  </si>
  <si>
    <t>Потоки</t>
  </si>
  <si>
    <t xml:space="preserve">Таблица 2. Расчеты </t>
  </si>
  <si>
    <t>Инвестиции</t>
  </si>
  <si>
    <t>NPV</t>
  </si>
  <si>
    <t>ROI</t>
  </si>
  <si>
    <t>Допустимость</t>
  </si>
  <si>
    <t>Таблица 3. Нормализация и взвешенные суммы</t>
  </si>
  <si>
    <t>NPV(норм)</t>
  </si>
  <si>
    <t>ROI,%(норм)</t>
  </si>
  <si>
    <t>Риск(норм)</t>
  </si>
  <si>
    <t>простота</t>
  </si>
  <si>
    <t xml:space="preserve">ценность </t>
  </si>
  <si>
    <t>взвешанная сумма</t>
  </si>
  <si>
    <t>проект</t>
  </si>
  <si>
    <t>NVP</t>
  </si>
  <si>
    <t>Взвешенная сумма</t>
  </si>
  <si>
    <t>Вывод : Лучший проект А1. Показывает лучшее показатели для достижения цели.Положительный NPV показывает что прект выгоден, ROI 33% считается хорошим результатом, взвешенная сумма максимальная.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</si>
</sst>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2" fontId="2" fillId="0" borderId="0" xfId="0" applyNumberFormat="1" applyFont="1"/>
    <xf numFmtId="2" fontId="3" fillId="2" borderId="0" xfId="0" applyNumberFormat="1" applyFont="1" applyFill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NPV</a:t>
            </a:r>
            <a:endParaRPr lang="ru-RU"/>
          </a:p>
        </c:rich>
      </c:tx>
      <c:layout>
        <c:manualLayout>
          <c:xMode val="edge"/>
          <c:yMode val="edge"/>
          <c:x val="0.44076628352490421"/>
          <c:y val="4.31266968402619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9937445319335082E-2"/>
          <c:y val="0.13467592592592592"/>
          <c:w val="0.87172922134733155"/>
          <c:h val="0.72088764946048411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Лист3!$A$2:$A$5</c:f>
              <c:strCache>
                <c:ptCount val="4"/>
                <c:pt idx="0">
                  <c:v>А1</c:v>
                </c:pt>
                <c:pt idx="1">
                  <c:v>А2</c:v>
                </c:pt>
                <c:pt idx="2">
                  <c:v>А4</c:v>
                </c:pt>
                <c:pt idx="3">
                  <c:v>А5</c:v>
                </c:pt>
              </c:strCache>
            </c:strRef>
          </c:cat>
          <c:val>
            <c:numRef>
              <c:f>Лист3!$B$2:$B$5</c:f>
              <c:numCache>
                <c:formatCode>General</c:formatCode>
                <c:ptCount val="4"/>
                <c:pt idx="0">
                  <c:v>47265.21</c:v>
                </c:pt>
                <c:pt idx="1">
                  <c:v>23560.78</c:v>
                </c:pt>
                <c:pt idx="2">
                  <c:v>-13912.42</c:v>
                </c:pt>
                <c:pt idx="3">
                  <c:v>29568.69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7E-4023-AC4B-E3B1AE7CA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75343839"/>
        <c:axId val="1375342591"/>
      </c:barChart>
      <c:catAx>
        <c:axId val="1375343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75342591"/>
        <c:crosses val="autoZero"/>
        <c:auto val="1"/>
        <c:lblAlgn val="ctr"/>
        <c:lblOffset val="100"/>
        <c:noMultiLvlLbl val="0"/>
      </c:catAx>
      <c:valAx>
        <c:axId val="1375342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75343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ROI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0390752504020456"/>
          <c:y val="0.30945348067059297"/>
          <c:w val="0.84607472229764202"/>
          <c:h val="0.4830586232063610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Лист3!$A$2:$A$5</c:f>
              <c:strCache>
                <c:ptCount val="4"/>
                <c:pt idx="0">
                  <c:v>А1</c:v>
                </c:pt>
                <c:pt idx="1">
                  <c:v>А2</c:v>
                </c:pt>
                <c:pt idx="2">
                  <c:v>А4</c:v>
                </c:pt>
                <c:pt idx="3">
                  <c:v>А5</c:v>
                </c:pt>
              </c:strCache>
            </c:strRef>
          </c:cat>
          <c:val>
            <c:numRef>
              <c:f>Лист3!$C$2:$C$5</c:f>
              <c:numCache>
                <c:formatCode>General</c:formatCode>
                <c:ptCount val="4"/>
                <c:pt idx="0">
                  <c:v>33.76</c:v>
                </c:pt>
                <c:pt idx="1">
                  <c:v>26.18</c:v>
                </c:pt>
                <c:pt idx="2">
                  <c:v>-8.43</c:v>
                </c:pt>
                <c:pt idx="3">
                  <c:v>26.88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36-4BC9-9467-EE722C7B8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9597151"/>
        <c:axId val="1549597567"/>
      </c:barChart>
      <c:catAx>
        <c:axId val="1549597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9597567"/>
        <c:crosses val="autoZero"/>
        <c:auto val="1"/>
        <c:lblAlgn val="ctr"/>
        <c:lblOffset val="100"/>
        <c:noMultiLvlLbl val="0"/>
      </c:catAx>
      <c:valAx>
        <c:axId val="1549597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9597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Взешенная</a:t>
            </a:r>
            <a:r>
              <a:rPr lang="ru-RU" baseline="0"/>
              <a:t> сумма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4432596113018928"/>
          <c:y val="0.3197719841257497"/>
          <c:w val="0.80671617886966174"/>
          <c:h val="0.5419696130382295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Лист3!$A$2:$A$5</c:f>
              <c:strCache>
                <c:ptCount val="4"/>
                <c:pt idx="0">
                  <c:v>А1</c:v>
                </c:pt>
                <c:pt idx="1">
                  <c:v>А2</c:v>
                </c:pt>
                <c:pt idx="2">
                  <c:v>А4</c:v>
                </c:pt>
                <c:pt idx="3">
                  <c:v>А5</c:v>
                </c:pt>
              </c:strCache>
            </c:strRef>
          </c:cat>
          <c:val>
            <c:numRef>
              <c:f>Лист3!$D$2:$D$5</c:f>
              <c:numCache>
                <c:formatCode>General</c:formatCode>
                <c:ptCount val="4"/>
                <c:pt idx="0">
                  <c:v>4.3099999999999996</c:v>
                </c:pt>
                <c:pt idx="1">
                  <c:v>3.75</c:v>
                </c:pt>
                <c:pt idx="2">
                  <c:v>1.85</c:v>
                </c:pt>
                <c:pt idx="3">
                  <c:v>3.66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70-4CFE-9485-0B0D002A1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72331631"/>
        <c:axId val="772332047"/>
      </c:barChart>
      <c:catAx>
        <c:axId val="772331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2332047"/>
        <c:crosses val="autoZero"/>
        <c:auto val="1"/>
        <c:lblAlgn val="ctr"/>
        <c:lblOffset val="100"/>
        <c:noMultiLvlLbl val="0"/>
      </c:catAx>
      <c:valAx>
        <c:axId val="772332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2331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5</xdr:row>
      <xdr:rowOff>152399</xdr:rowOff>
    </xdr:from>
    <xdr:to>
      <xdr:col>4</xdr:col>
      <xdr:colOff>238125</xdr:colOff>
      <xdr:row>15</xdr:row>
      <xdr:rowOff>14286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CD66026-C1A7-4759-B3EC-562562CDAB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319086</xdr:colOff>
      <xdr:row>5</xdr:row>
      <xdr:rowOff>152399</xdr:rowOff>
    </xdr:from>
    <xdr:to>
      <xdr:col>9</xdr:col>
      <xdr:colOff>304799</xdr:colOff>
      <xdr:row>15</xdr:row>
      <xdr:rowOff>9525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2E9DE88-3689-4926-A690-8FB3D2AAE6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471486</xdr:colOff>
      <xdr:row>5</xdr:row>
      <xdr:rowOff>147636</xdr:rowOff>
    </xdr:from>
    <xdr:to>
      <xdr:col>14</xdr:col>
      <xdr:colOff>114299</xdr:colOff>
      <xdr:row>14</xdr:row>
      <xdr:rowOff>190499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C60EA94E-C769-477A-94AA-8EFE788804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313D7-5E35-4694-9977-B56473A6B50B}">
  <dimension ref="A1"/>
  <sheetViews>
    <sheetView workbookViewId="0">
      <selection activeCell="C30" sqref="C30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C8451-8235-40C7-BD44-1570F1414350}">
  <dimension ref="A1:J22"/>
  <sheetViews>
    <sheetView workbookViewId="0">
      <selection activeCell="H19" sqref="H19"/>
    </sheetView>
  </sheetViews>
  <sheetFormatPr defaultRowHeight="15" x14ac:dyDescent="0.25"/>
  <cols>
    <col min="1" max="1" width="28.28515625" style="1" bestFit="1" customWidth="1"/>
    <col min="2" max="2" width="17.85546875" style="1" bestFit="1" customWidth="1"/>
    <col min="3" max="5" width="17.85546875" style="1" customWidth="1"/>
    <col min="6" max="6" width="27.28515625" style="1" customWidth="1"/>
    <col min="7" max="8" width="9.140625" style="1"/>
    <col min="9" max="9" width="9.28515625" style="1" bestFit="1" customWidth="1"/>
    <col min="10" max="16384" width="9.140625" style="1"/>
  </cols>
  <sheetData>
    <row r="1" spans="1:10" x14ac:dyDescent="0.25">
      <c r="A1" s="1" t="s">
        <v>1</v>
      </c>
    </row>
    <row r="2" spans="1:10" x14ac:dyDescent="0.25">
      <c r="A2" s="1" t="s">
        <v>2</v>
      </c>
      <c r="B2" s="1" t="s">
        <v>3</v>
      </c>
      <c r="C2" s="1" t="s">
        <v>13</v>
      </c>
      <c r="G2" s="1" t="s">
        <v>4</v>
      </c>
      <c r="H2" s="1" t="s">
        <v>5</v>
      </c>
      <c r="I2" s="1" t="s">
        <v>6</v>
      </c>
      <c r="J2" s="1" t="s">
        <v>7</v>
      </c>
    </row>
    <row r="3" spans="1:10" x14ac:dyDescent="0.25">
      <c r="A3" s="1" t="s">
        <v>8</v>
      </c>
      <c r="B3" s="1">
        <v>140000</v>
      </c>
      <c r="C3" s="1">
        <v>75000</v>
      </c>
      <c r="D3" s="1">
        <v>85000</v>
      </c>
      <c r="E3" s="1">
        <v>65000</v>
      </c>
      <c r="G3" s="1">
        <v>0.1</v>
      </c>
      <c r="H3" s="1">
        <v>3</v>
      </c>
      <c r="I3" s="1">
        <v>4</v>
      </c>
      <c r="J3" s="1">
        <v>5</v>
      </c>
    </row>
    <row r="4" spans="1:10" x14ac:dyDescent="0.25">
      <c r="A4" s="1" t="s">
        <v>9</v>
      </c>
      <c r="B4" s="1">
        <v>90000</v>
      </c>
      <c r="C4" s="1">
        <v>45000</v>
      </c>
      <c r="D4" s="1">
        <v>40000</v>
      </c>
      <c r="E4" s="1">
        <v>50000</v>
      </c>
      <c r="G4" s="1">
        <v>0.09</v>
      </c>
      <c r="H4" s="1">
        <v>2</v>
      </c>
      <c r="I4" s="1">
        <v>5</v>
      </c>
      <c r="J4" s="1">
        <v>3</v>
      </c>
    </row>
    <row r="5" spans="1:10" x14ac:dyDescent="0.25">
      <c r="A5" s="1" t="s">
        <v>10</v>
      </c>
      <c r="B5" s="1">
        <v>190000</v>
      </c>
      <c r="C5" s="1">
        <v>95000</v>
      </c>
      <c r="D5" s="1">
        <v>105000</v>
      </c>
      <c r="E5" s="1">
        <v>85000</v>
      </c>
      <c r="G5" s="1">
        <v>0.08</v>
      </c>
      <c r="H5" s="1">
        <v>4</v>
      </c>
      <c r="I5" s="1">
        <v>2</v>
      </c>
      <c r="J5" s="1">
        <v>4</v>
      </c>
    </row>
    <row r="6" spans="1:10" x14ac:dyDescent="0.25">
      <c r="A6" s="1" t="s">
        <v>11</v>
      </c>
      <c r="B6" s="1">
        <v>165000</v>
      </c>
      <c r="C6" s="1">
        <v>35000</v>
      </c>
      <c r="D6" s="1">
        <v>45000</v>
      </c>
      <c r="E6" s="1">
        <v>55000</v>
      </c>
      <c r="F6" s="1">
        <v>65000</v>
      </c>
      <c r="G6" s="1">
        <v>0.11</v>
      </c>
      <c r="H6" s="1">
        <v>1</v>
      </c>
      <c r="I6" s="1">
        <v>3</v>
      </c>
      <c r="J6" s="1">
        <v>2</v>
      </c>
    </row>
    <row r="7" spans="1:10" x14ac:dyDescent="0.25">
      <c r="A7" s="1" t="s">
        <v>12</v>
      </c>
      <c r="B7" s="1">
        <v>110000</v>
      </c>
      <c r="C7" s="1">
        <v>55000</v>
      </c>
      <c r="D7" s="1">
        <v>60000</v>
      </c>
      <c r="E7" s="1">
        <v>50000</v>
      </c>
      <c r="G7" s="1">
        <v>0.09</v>
      </c>
      <c r="H7" s="1">
        <v>3</v>
      </c>
      <c r="I7" s="1">
        <v>4</v>
      </c>
      <c r="J7" s="1">
        <v>4</v>
      </c>
    </row>
    <row r="9" spans="1:10" x14ac:dyDescent="0.25">
      <c r="A9" s="1" t="s">
        <v>14</v>
      </c>
    </row>
    <row r="10" spans="1:10" x14ac:dyDescent="0.25">
      <c r="A10" s="1" t="s">
        <v>2</v>
      </c>
      <c r="B10" s="1" t="s">
        <v>15</v>
      </c>
      <c r="C10" s="1" t="s">
        <v>16</v>
      </c>
      <c r="D10" s="1" t="s">
        <v>17</v>
      </c>
      <c r="E10" s="1" t="s">
        <v>18</v>
      </c>
    </row>
    <row r="11" spans="1:10" ht="15.75" x14ac:dyDescent="0.25">
      <c r="A11" s="1" t="s">
        <v>8</v>
      </c>
      <c r="B11" s="1">
        <v>140000</v>
      </c>
      <c r="C11" s="2">
        <f>NPV(G3,C3,D3,E3,F3)-B3</f>
        <v>47265.214124718215</v>
      </c>
      <c r="D11" s="1">
        <f>(C11/B11)*100</f>
        <v>33.760867231941582</v>
      </c>
      <c r="E11" s="1" t="str">
        <f>IF(Лист2!B11&lt;=175000,"да","нет")</f>
        <v>да</v>
      </c>
    </row>
    <row r="12" spans="1:10" ht="15.75" x14ac:dyDescent="0.25">
      <c r="A12" s="1" t="s">
        <v>9</v>
      </c>
      <c r="B12" s="1">
        <v>90000</v>
      </c>
      <c r="C12" s="2">
        <f t="shared" ref="C12:C15" si="0">NPV(G4,C4,D4,E4,F4)-B4</f>
        <v>23560.77740344037</v>
      </c>
      <c r="D12" s="1">
        <f t="shared" ref="D12:D15" si="1">(C12/B12)*100</f>
        <v>26.178641559378192</v>
      </c>
      <c r="E12" s="1" t="str">
        <f>IF(Лист2!B12&lt;=175000,"да","нет")</f>
        <v>да</v>
      </c>
    </row>
    <row r="13" spans="1:10" ht="15.75" x14ac:dyDescent="0.25">
      <c r="A13" s="1" t="s">
        <v>10</v>
      </c>
      <c r="B13" s="1">
        <v>190000</v>
      </c>
      <c r="C13" s="2">
        <f t="shared" si="0"/>
        <v>55459.279581364564</v>
      </c>
      <c r="D13" s="1">
        <f t="shared" si="1"/>
        <v>29.189094516507662</v>
      </c>
      <c r="E13" s="1" t="str">
        <f>IF(Лист2!B13&lt;=175000,"да","нет")</f>
        <v>нет</v>
      </c>
    </row>
    <row r="14" spans="1:10" ht="15.75" x14ac:dyDescent="0.25">
      <c r="A14" s="1" t="s">
        <v>11</v>
      </c>
      <c r="B14" s="1">
        <v>165000</v>
      </c>
      <c r="C14" s="2">
        <f t="shared" si="0"/>
        <v>-13912.419681508763</v>
      </c>
      <c r="D14" s="1">
        <f t="shared" si="1"/>
        <v>-8.4317695039447056</v>
      </c>
      <c r="E14" s="1" t="str">
        <f>IF(Лист2!B14&lt;=175000,"да","нет")</f>
        <v>да</v>
      </c>
    </row>
    <row r="15" spans="1:10" ht="15.75" x14ac:dyDescent="0.25">
      <c r="A15" s="1" t="s">
        <v>12</v>
      </c>
      <c r="B15" s="1">
        <v>110000</v>
      </c>
      <c r="C15" s="2">
        <f t="shared" si="0"/>
        <v>29568.689195377083</v>
      </c>
      <c r="D15" s="1">
        <f t="shared" si="1"/>
        <v>26.880626541251896</v>
      </c>
      <c r="E15" s="1" t="str">
        <f>IF(Лист2!B15&lt;=175000,"да","нет")</f>
        <v>да</v>
      </c>
    </row>
    <row r="17" spans="1:8" x14ac:dyDescent="0.25">
      <c r="A17" s="1" t="s">
        <v>19</v>
      </c>
    </row>
    <row r="18" spans="1:8" x14ac:dyDescent="0.25">
      <c r="A18" s="1" t="s">
        <v>2</v>
      </c>
      <c r="B18" s="1" t="s">
        <v>20</v>
      </c>
      <c r="C18" s="1" t="s">
        <v>21</v>
      </c>
      <c r="D18" s="1" t="s">
        <v>5</v>
      </c>
      <c r="E18" s="1" t="s">
        <v>22</v>
      </c>
      <c r="F18" s="1" t="s">
        <v>23</v>
      </c>
      <c r="G18" s="1" t="s">
        <v>24</v>
      </c>
      <c r="H18" s="1" t="s">
        <v>25</v>
      </c>
    </row>
    <row r="19" spans="1:8" x14ac:dyDescent="0.25">
      <c r="A19" s="1" t="s">
        <v>8</v>
      </c>
      <c r="B19" s="1">
        <f>(C11-MIN(C11:C15))/(MAX(C11:C15)-MIN(C11:C15))*4+1</f>
        <v>4.5275268996599776</v>
      </c>
      <c r="C19" s="1">
        <f>(D11-MIN(D11:D15))/(MAX(D11:D15)-MIN(D11:D15))*4+1</f>
        <v>5</v>
      </c>
      <c r="D19" s="1">
        <v>3</v>
      </c>
      <c r="E19" s="1">
        <f>(MAX(H3:H7)-D19)/(MAX(H3:H7)-MIN(H3:H7))*4+1</f>
        <v>2.333333333333333</v>
      </c>
      <c r="F19" s="1">
        <v>4</v>
      </c>
      <c r="G19" s="1">
        <v>5</v>
      </c>
      <c r="H19" s="3">
        <f>B19*0.4+C19*0.3+E19*0.15+F19*0.1+G19*0.05</f>
        <v>4.3110107598639908</v>
      </c>
    </row>
    <row r="20" spans="1:8" x14ac:dyDescent="0.25">
      <c r="A20" s="1" t="s">
        <v>9</v>
      </c>
      <c r="B20" s="1">
        <f>(C12-MIN(C11:C15))/(MAX(C11:C15)-MIN(C11:C15))*4+1</f>
        <v>3.1607195719943517</v>
      </c>
      <c r="C20" s="1">
        <f>(D12-MIN(D11:D15))/(MAX(D11:D15)-MIN(D11:D15))*4+1</f>
        <v>4.2811802002301089</v>
      </c>
      <c r="D20" s="1">
        <v>2</v>
      </c>
      <c r="E20" s="1">
        <f>(MAX(H3:H7)-D20)/(MAX(H3:H7)-MIN(H3:H7))*4+1</f>
        <v>3.6666666666666665</v>
      </c>
      <c r="F20" s="1">
        <v>5</v>
      </c>
      <c r="G20" s="1">
        <v>3</v>
      </c>
      <c r="H20" s="1">
        <f t="shared" ref="H20:H22" si="2">B20*0.4+C20*0.3+E20*0.15+F20*0.1+G20*0.05</f>
        <v>3.7486418888667732</v>
      </c>
    </row>
    <row r="21" spans="1:8" x14ac:dyDescent="0.25">
      <c r="A21" s="1" t="s">
        <v>11</v>
      </c>
      <c r="B21" s="1">
        <f>(C14-MIN(C11:C15))/(MAX(C11:C15)-MIN(C11:C15))*4+1</f>
        <v>1</v>
      </c>
      <c r="C21" s="1">
        <f>(D14-MIN(D11:D15))/(MAX(D11:D15)-MIN(D11:D15))*4+1</f>
        <v>1</v>
      </c>
      <c r="D21" s="1">
        <v>1</v>
      </c>
      <c r="E21" s="1">
        <f>(MAX(H3:H7)-D21)/(MAX(H3:H7)-MIN(H3:H7))*4+1</f>
        <v>5</v>
      </c>
      <c r="F21" s="1">
        <v>3</v>
      </c>
      <c r="G21" s="1">
        <v>2</v>
      </c>
      <c r="H21" s="1">
        <f t="shared" si="2"/>
        <v>1.85</v>
      </c>
    </row>
    <row r="22" spans="1:8" x14ac:dyDescent="0.25">
      <c r="A22" s="1" t="s">
        <v>12</v>
      </c>
      <c r="B22" s="1">
        <f>(C15-MIN(C11:C15))/(MAX(C11:C15)-MIN(C11:C15))*4+1</f>
        <v>3.5071381753023467</v>
      </c>
      <c r="C22" s="1">
        <f>(D15-MIN(D11:D15))/(MAX(D11:D15)-MIN(D11:D15))*4+1</f>
        <v>4.3477306731259286</v>
      </c>
      <c r="D22" s="1">
        <v>3</v>
      </c>
      <c r="E22" s="1">
        <f>(MAX(H3:H7)-D22)/(MAX(H3:H7)-MIN(H3:H7))*4+1</f>
        <v>2.333333333333333</v>
      </c>
      <c r="F22" s="1">
        <v>4</v>
      </c>
      <c r="G22" s="1">
        <v>4</v>
      </c>
      <c r="H22" s="1">
        <f t="shared" si="2"/>
        <v>3.6571744720587174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C1ED9-F7AC-44FC-9B63-FE202A16480A}">
  <dimension ref="A1:D22"/>
  <sheetViews>
    <sheetView tabSelected="1" workbookViewId="0">
      <selection activeCell="D23" sqref="D23"/>
    </sheetView>
  </sheetViews>
  <sheetFormatPr defaultRowHeight="15" x14ac:dyDescent="0.25"/>
  <cols>
    <col min="1" max="1" width="27.140625" customWidth="1"/>
  </cols>
  <sheetData>
    <row r="1" spans="1:4" x14ac:dyDescent="0.25">
      <c r="A1" t="s">
        <v>26</v>
      </c>
      <c r="B1" t="s">
        <v>27</v>
      </c>
      <c r="C1" t="s">
        <v>17</v>
      </c>
      <c r="D1" t="s">
        <v>28</v>
      </c>
    </row>
    <row r="2" spans="1:4" x14ac:dyDescent="0.25">
      <c r="A2" t="s">
        <v>8</v>
      </c>
      <c r="B2">
        <v>47265.21</v>
      </c>
      <c r="C2">
        <v>33.76</v>
      </c>
      <c r="D2">
        <v>4.3099999999999996</v>
      </c>
    </row>
    <row r="3" spans="1:4" x14ac:dyDescent="0.25">
      <c r="A3" t="s">
        <v>9</v>
      </c>
      <c r="B3">
        <v>23560.78</v>
      </c>
      <c r="C3">
        <v>26.18</v>
      </c>
      <c r="D3">
        <v>3.75</v>
      </c>
    </row>
    <row r="4" spans="1:4" x14ac:dyDescent="0.25">
      <c r="A4" t="s">
        <v>11</v>
      </c>
      <c r="B4">
        <v>-13912.42</v>
      </c>
      <c r="C4">
        <v>-8.43</v>
      </c>
      <c r="D4">
        <v>1.85</v>
      </c>
    </row>
    <row r="5" spans="1:4" x14ac:dyDescent="0.25">
      <c r="A5" t="s">
        <v>12</v>
      </c>
      <c r="B5">
        <v>29568.69</v>
      </c>
      <c r="C5">
        <v>26.88</v>
      </c>
      <c r="D5">
        <v>3.66</v>
      </c>
    </row>
    <row r="17" spans="1:1" ht="135" x14ac:dyDescent="0.25">
      <c r="A17" s="4" t="s">
        <v>29</v>
      </c>
    </row>
    <row r="22" spans="1:1" ht="14.25" customHeight="1" x14ac:dyDescent="0.25">
      <c r="A22" s="4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9D460C-61C0-4DC6-A3AB-34F727435E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ITStud</dc:creator>
  <cp:lastModifiedBy>ITStud</cp:lastModifiedBy>
  <dcterms:created xsi:type="dcterms:W3CDTF">2026-09-01T12:01:30Z</dcterms:created>
  <dcterms:modified xsi:type="dcterms:W3CDTF">2026-09-01T13:37:29Z</dcterms:modified>
</cp:coreProperties>
</file>