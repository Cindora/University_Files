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tud\Desktop\"/>
    </mc:Choice>
  </mc:AlternateContent>
  <xr:revisionPtr revIDLastSave="0" documentId="8_{F6F6A86B-3E20-4BA3-A58C-5654E01DABE7}" xr6:coauthVersionLast="47" xr6:coauthVersionMax="47" xr10:uidLastSave="{00000000-0000-0000-0000-000000000000}"/>
  <bookViews>
    <workbookView xWindow="-120" yWindow="-120" windowWidth="29040" windowHeight="15720" activeTab="2" xr2:uid="{BB7EBF79-EB5A-4850-B02D-8B692DACA528}"/>
  </bookViews>
  <sheets>
    <sheet name="Лист1" sheetId="1" r:id="rId1"/>
    <sheet name="Лист2" sheetId="3" r:id="rId2"/>
    <sheet name="Лист3" sheetId="2" r:id="rId3"/>
  </sheets>
  <definedNames>
    <definedName name="_xlchart.v1.0" hidden="1">Лист3!$D$1:$D$5</definedName>
    <definedName name="_xlchart.v1.1" hidden="1">Лист3!$D$1:$D$5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3" l="1"/>
  <c r="H19" i="3"/>
  <c r="H20" i="3"/>
  <c r="H21" i="3"/>
  <c r="H22" i="3"/>
  <c r="E22" i="3"/>
  <c r="C22" i="3"/>
  <c r="B22" i="3"/>
  <c r="E21" i="3"/>
  <c r="B21" i="3"/>
  <c r="E20" i="3"/>
  <c r="B20" i="3"/>
  <c r="E19" i="3"/>
  <c r="C19" i="3"/>
  <c r="B19" i="3"/>
  <c r="E18" i="3"/>
  <c r="B18" i="3"/>
  <c r="D15" i="3"/>
  <c r="D14" i="3"/>
  <c r="C21" i="3" s="1"/>
  <c r="D13" i="3"/>
  <c r="C20" i="3" s="1"/>
  <c r="D12" i="3"/>
  <c r="D11" i="3"/>
  <c r="C18" i="3" s="1"/>
</calcChain>
</file>

<file path=xl/sharedStrings.xml><?xml version="1.0" encoding="utf-8"?>
<sst xmlns="http://schemas.openxmlformats.org/spreadsheetml/2006/main" count="55" uniqueCount="32">
  <si>
    <t>Проект</t>
  </si>
  <si>
    <t>Инвистиции</t>
  </si>
  <si>
    <t>Потоки</t>
  </si>
  <si>
    <t>Ставка</t>
  </si>
  <si>
    <t>Горизонт</t>
  </si>
  <si>
    <t>Риск</t>
  </si>
  <si>
    <t>Простота</t>
  </si>
  <si>
    <t>Ценность</t>
  </si>
  <si>
    <t>А1</t>
  </si>
  <si>
    <t>А2</t>
  </si>
  <si>
    <t>А3</t>
  </si>
  <si>
    <t>А4</t>
  </si>
  <si>
    <t>А5</t>
  </si>
  <si>
    <t>0.10</t>
  </si>
  <si>
    <t>0.09</t>
  </si>
  <si>
    <t>0.08</t>
  </si>
  <si>
    <t>0.11</t>
  </si>
  <si>
    <t>NVP</t>
  </si>
  <si>
    <t>ROI%</t>
  </si>
  <si>
    <t>Допустимость</t>
  </si>
  <si>
    <t>5 .000</t>
  </si>
  <si>
    <t>нет</t>
  </si>
  <si>
    <t>да</t>
  </si>
  <si>
    <t>NVP(норм)</t>
  </si>
  <si>
    <t>ROI(норм)</t>
  </si>
  <si>
    <t>Риск(норм)</t>
  </si>
  <si>
    <t>простата</t>
  </si>
  <si>
    <t xml:space="preserve">ценность </t>
  </si>
  <si>
    <t>Взвешеянииая    сумма</t>
  </si>
  <si>
    <t xml:space="preserve">Джумаев Назар </t>
  </si>
  <si>
    <t>Лабораторная №1</t>
  </si>
  <si>
    <r>
      <rPr>
        <sz val="36"/>
        <color theme="1"/>
        <rFont val="Calibri"/>
        <family val="2"/>
        <charset val="204"/>
        <scheme val="minor"/>
      </rPr>
      <t>Итд_123</t>
    </r>
    <r>
      <rPr>
        <sz val="11"/>
        <color theme="1"/>
        <rFont val="Calibri"/>
        <family val="2"/>
        <charset val="20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</si>
</sst>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8" fontId="0" fillId="3" borderId="1" xfId="0" applyNumberFormat="1" applyFill="1" applyBorder="1"/>
    <xf numFmtId="4" fontId="0" fillId="3" borderId="1" xfId="0" applyNumberFormat="1" applyFill="1" applyBorder="1"/>
    <xf numFmtId="0" fontId="0" fillId="4" borderId="1" xfId="0" applyFill="1" applyBorder="1"/>
    <xf numFmtId="0" fontId="0" fillId="4" borderId="0" xfId="0" applyFill="1" applyBorder="1"/>
    <xf numFmtId="8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8" fontId="0" fillId="5" borderId="1" xfId="0" applyNumberFormat="1" applyFill="1" applyBorder="1"/>
    <xf numFmtId="4" fontId="0" fillId="5" borderId="1" xfId="0" applyNumberFormat="1" applyFill="1" applyBorder="1"/>
    <xf numFmtId="0" fontId="0" fillId="5" borderId="0" xfId="0" applyFill="1" applyBorder="1"/>
    <xf numFmtId="0" fontId="1" fillId="5" borderId="1" xfId="0" applyFont="1" applyFill="1" applyBorder="1" applyAlignment="1">
      <alignment horizontal="justify" vertical="center"/>
    </xf>
    <xf numFmtId="0" fontId="0" fillId="0" borderId="1" xfId="0" applyBorder="1"/>
    <xf numFmtId="0" fontId="2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3" fillId="5" borderId="0" xfId="0" applyFont="1" applyFill="1" applyBorder="1"/>
    <xf numFmtId="8" fontId="0" fillId="5" borderId="0" xfId="0" applyNumberFormat="1" applyFill="1" applyBorder="1"/>
    <xf numFmtId="0" fontId="3" fillId="0" borderId="0" xfId="0" applyFont="1" applyBorder="1"/>
    <xf numFmtId="14" fontId="3" fillId="0" borderId="0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Лист3!$B$1:$B$5</c:f>
              <c:numCache>
                <c:formatCode>#,##0.00</c:formatCode>
                <c:ptCount val="5"/>
                <c:pt idx="0" formatCode="&quot;₽&quot;#,##0.00_);[Red]\(&quot;₽&quot;#,##0.00\)">
                  <c:v>40685.19</c:v>
                </c:pt>
                <c:pt idx="1">
                  <c:v>14685.19</c:v>
                </c:pt>
                <c:pt idx="2">
                  <c:v>40685.19</c:v>
                </c:pt>
                <c:pt idx="3">
                  <c:v>44685.19</c:v>
                </c:pt>
                <c:pt idx="4">
                  <c:v>17255.740000000002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7-44A1-8C49-0DBDFAC52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723024"/>
        <c:axId val="276725104"/>
      </c:barChart>
      <c:catAx>
        <c:axId val="276723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6725104"/>
        <c:crosses val="autoZero"/>
        <c:auto val="1"/>
        <c:lblAlgn val="ctr"/>
        <c:lblOffset val="100"/>
        <c:noMultiLvlLbl val="0"/>
      </c:catAx>
      <c:valAx>
        <c:axId val="2767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672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Лист3!$C$1:$C$5</c:f>
              <c:numCache>
                <c:formatCode>General</c:formatCode>
                <c:ptCount val="5"/>
                <c:pt idx="0" formatCode="&quot;₽&quot;#,##0.00_);[Red]\(&quot;₽&quot;#,##0.00\)">
                  <c:v>27.12</c:v>
                </c:pt>
                <c:pt idx="1">
                  <c:v>14.68519</c:v>
                </c:pt>
                <c:pt idx="2">
                  <c:v>18.082306670000001</c:v>
                </c:pt>
                <c:pt idx="3">
                  <c:v>26.285405879999999</c:v>
                </c:pt>
                <c:pt idx="4">
                  <c:v>14.37978333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7-437A-AECB-EECB40798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857056"/>
        <c:axId val="1636859552"/>
      </c:barChart>
      <c:catAx>
        <c:axId val="163685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6859552"/>
        <c:crosses val="autoZero"/>
        <c:auto val="1"/>
        <c:lblAlgn val="ctr"/>
        <c:lblOffset val="100"/>
        <c:noMultiLvlLbl val="0"/>
      </c:catAx>
      <c:valAx>
        <c:axId val="16368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68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Взвешеянииая    сумма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Лист3!$D$1:$D$5</c:f>
              <c:numCache>
                <c:formatCode>General</c:formatCode>
                <c:ptCount val="5"/>
                <c:pt idx="0">
                  <c:v>4.24</c:v>
                </c:pt>
                <c:pt idx="1">
                  <c:v>1.83</c:v>
                </c:pt>
                <c:pt idx="2">
                  <c:v>2.9898615130000001</c:v>
                </c:pt>
                <c:pt idx="3">
                  <c:v>4.5</c:v>
                </c:pt>
                <c:pt idx="4">
                  <c:v>1.737096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B-47FF-876C-680D3775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860384"/>
        <c:axId val="1636861632"/>
      </c:barChart>
      <c:catAx>
        <c:axId val="163686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6861632"/>
        <c:crosses val="autoZero"/>
        <c:auto val="1"/>
        <c:lblAlgn val="ctr"/>
        <c:lblOffset val="100"/>
        <c:noMultiLvlLbl val="0"/>
      </c:catAx>
      <c:valAx>
        <c:axId val="16368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686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76200</xdr:rowOff>
    </xdr:from>
    <xdr:to>
      <xdr:col>9</xdr:col>
      <xdr:colOff>410411</xdr:colOff>
      <xdr:row>40</xdr:row>
      <xdr:rowOff>171915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B57338C-95A6-4933-8034-6E83C0019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57700"/>
          <a:ext cx="5992061" cy="3334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14287</xdr:rowOff>
    </xdr:from>
    <xdr:to>
      <xdr:col>7</xdr:col>
      <xdr:colOff>190500</xdr:colOff>
      <xdr:row>21</xdr:row>
      <xdr:rowOff>90487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6878928-B470-4AE6-BD65-1268A7554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328612</xdr:colOff>
      <xdr:row>6</xdr:row>
      <xdr:rowOff>166687</xdr:rowOff>
    </xdr:from>
    <xdr:to>
      <xdr:col>15</xdr:col>
      <xdr:colOff>23812</xdr:colOff>
      <xdr:row>21</xdr:row>
      <xdr:rowOff>52387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6BACC20-0CB0-4BC9-809C-206555CD7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90487</xdr:colOff>
      <xdr:row>6</xdr:row>
      <xdr:rowOff>138112</xdr:rowOff>
    </xdr:from>
    <xdr:to>
      <xdr:col>22</xdr:col>
      <xdr:colOff>395287</xdr:colOff>
      <xdr:row>21</xdr:row>
      <xdr:rowOff>23812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3BF9D61-60EB-43FE-8E39-B1A7F4054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70AF-D623-48A0-A02D-25734AEDDD89}">
  <dimension ref="A1:M35"/>
  <sheetViews>
    <sheetView zoomScale="85" zoomScaleNormal="85" workbookViewId="0">
      <selection activeCell="H6" sqref="H6"/>
    </sheetView>
  </sheetViews>
  <sheetFormatPr defaultRowHeight="15" x14ac:dyDescent="0.25"/>
  <cols>
    <col min="1" max="1" width="9.140625" style="16"/>
    <col min="2" max="2" width="12.28515625" style="16" customWidth="1"/>
    <col min="3" max="3" width="11.28515625" style="16" customWidth="1"/>
    <col min="4" max="4" width="12.28515625" style="16" customWidth="1"/>
    <col min="5" max="5" width="13.28515625" style="16" customWidth="1"/>
    <col min="6" max="7" width="9.140625" style="16"/>
    <col min="8" max="8" width="110" style="16" customWidth="1"/>
    <col min="9" max="9" width="7" style="16" customWidth="1"/>
    <col min="10" max="10" width="10.28515625" style="16" customWidth="1"/>
    <col min="11" max="11" width="10.5703125" style="16" customWidth="1"/>
    <col min="12" max="12" width="18.5703125" style="16" customWidth="1"/>
    <col min="13" max="13" width="9.140625" style="16"/>
  </cols>
  <sheetData>
    <row r="1" spans="1:12" ht="29.2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5"/>
    </row>
    <row r="2" spans="1:12" x14ac:dyDescent="0.25">
      <c r="A2" s="10"/>
      <c r="B2" s="11"/>
      <c r="C2" s="11"/>
      <c r="D2" s="11"/>
      <c r="E2" s="11"/>
      <c r="F2" s="10"/>
      <c r="G2" s="10"/>
      <c r="H2" s="10"/>
      <c r="I2" s="10"/>
      <c r="J2" s="10"/>
      <c r="K2" s="10"/>
      <c r="L2" s="10"/>
    </row>
    <row r="3" spans="1:12" ht="23.25" x14ac:dyDescent="0.35">
      <c r="A3" s="10"/>
      <c r="B3" s="11"/>
      <c r="C3" s="11"/>
      <c r="D3" s="11"/>
      <c r="E3" s="11"/>
      <c r="F3" s="10"/>
      <c r="G3" s="10"/>
      <c r="H3" s="17"/>
      <c r="I3" s="10"/>
      <c r="J3" s="10"/>
      <c r="K3" s="10"/>
      <c r="L3" s="10"/>
    </row>
    <row r="4" spans="1:12" x14ac:dyDescent="0.25">
      <c r="A4" s="10"/>
      <c r="B4" s="11"/>
      <c r="C4" s="11"/>
      <c r="D4" s="11"/>
      <c r="E4" s="11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1"/>
      <c r="C5" s="11"/>
      <c r="D5" s="11"/>
      <c r="E5" s="11"/>
      <c r="F5" s="11"/>
      <c r="G5" s="10"/>
      <c r="H5" s="10"/>
      <c r="I5" s="10"/>
      <c r="J5" s="10"/>
      <c r="K5" s="10"/>
      <c r="L5" s="10"/>
    </row>
    <row r="6" spans="1:12" x14ac:dyDescent="0.25">
      <c r="A6" s="10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1"/>
      <c r="C11" s="12"/>
      <c r="D11" s="12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/>
      <c r="C12" s="13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/>
      <c r="C13" s="13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/>
      <c r="C14" s="13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/>
      <c r="C15" s="13"/>
      <c r="D15" s="10"/>
      <c r="E15" s="10"/>
      <c r="F15" s="10"/>
      <c r="G15" s="20"/>
      <c r="H15" s="2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8"/>
      <c r="G16" s="14"/>
      <c r="H16" s="14"/>
      <c r="I16" s="19"/>
      <c r="J16" s="10"/>
      <c r="K16" s="10"/>
      <c r="L16" s="10"/>
    </row>
    <row r="17" spans="1:12" ht="33.75" customHeight="1" x14ac:dyDescent="0.55000000000000004">
      <c r="A17" s="10"/>
      <c r="B17" s="10"/>
      <c r="C17" s="10"/>
      <c r="D17" s="10"/>
      <c r="E17" s="10"/>
      <c r="F17" s="18"/>
      <c r="G17" s="14"/>
      <c r="H17" s="22" t="s">
        <v>29</v>
      </c>
      <c r="I17" s="19"/>
      <c r="J17" s="10"/>
      <c r="K17" s="10"/>
      <c r="L17" s="10"/>
    </row>
    <row r="18" spans="1:12" ht="46.5" x14ac:dyDescent="0.7">
      <c r="A18" s="10"/>
      <c r="B18" s="12"/>
      <c r="C18" s="10"/>
      <c r="D18" s="10"/>
      <c r="E18" s="10"/>
      <c r="F18" s="18"/>
      <c r="G18" s="14"/>
      <c r="H18" s="23" t="s">
        <v>31</v>
      </c>
      <c r="I18" s="19"/>
      <c r="J18" s="10"/>
      <c r="K18" s="10"/>
      <c r="L18" s="10"/>
    </row>
    <row r="19" spans="1:12" ht="36" x14ac:dyDescent="0.55000000000000004">
      <c r="A19" s="10"/>
      <c r="B19" s="10"/>
      <c r="C19" s="10"/>
      <c r="D19" s="10"/>
      <c r="E19" s="10"/>
      <c r="F19" s="18"/>
      <c r="G19" s="14"/>
      <c r="H19" s="24" t="s">
        <v>30</v>
      </c>
      <c r="I19" s="19"/>
      <c r="J19" s="10"/>
      <c r="K19" s="10"/>
      <c r="L19" s="10"/>
    </row>
    <row r="20" spans="1:12" ht="36" x14ac:dyDescent="0.55000000000000004">
      <c r="A20" s="10"/>
      <c r="B20" s="10"/>
      <c r="C20" s="10"/>
      <c r="D20" s="10"/>
      <c r="E20" s="10"/>
      <c r="F20" s="18"/>
      <c r="G20" s="14"/>
      <c r="H20" s="25">
        <v>46266</v>
      </c>
      <c r="I20" s="19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21"/>
      <c r="H21" s="21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2"/>
      <c r="C25" s="12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3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3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3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3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2:12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2:12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2:12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EA9C-BCE1-4ED1-8A2C-BBD09495073B}">
  <dimension ref="A1:K22"/>
  <sheetViews>
    <sheetView workbookViewId="0">
      <selection activeCell="H17" sqref="H17"/>
    </sheetView>
  </sheetViews>
  <sheetFormatPr defaultRowHeight="15" x14ac:dyDescent="0.25"/>
  <cols>
    <col min="3" max="3" width="10.5703125" bestFit="1" customWidth="1"/>
  </cols>
  <sheetData>
    <row r="1" spans="1:11" x14ac:dyDescent="0.25">
      <c r="A1" s="1" t="s">
        <v>0</v>
      </c>
      <c r="B1" s="1" t="s">
        <v>1</v>
      </c>
      <c r="C1" s="1"/>
      <c r="D1" s="1" t="s">
        <v>2</v>
      </c>
      <c r="E1" s="1"/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1" t="s">
        <v>8</v>
      </c>
      <c r="B2" s="3">
        <v>150000</v>
      </c>
      <c r="C2" s="3">
        <v>80000</v>
      </c>
      <c r="D2" s="3">
        <v>90000</v>
      </c>
      <c r="E2" s="3">
        <v>70000</v>
      </c>
      <c r="F2" s="1"/>
      <c r="G2" s="1" t="s">
        <v>13</v>
      </c>
      <c r="H2" s="1">
        <v>3</v>
      </c>
      <c r="I2" s="1">
        <v>3</v>
      </c>
      <c r="J2" s="1">
        <v>4</v>
      </c>
      <c r="K2" s="1">
        <v>5</v>
      </c>
    </row>
    <row r="3" spans="1:11" x14ac:dyDescent="0.25">
      <c r="A3" s="1" t="s">
        <v>9</v>
      </c>
      <c r="B3" s="3">
        <v>100000</v>
      </c>
      <c r="C3" s="3">
        <v>45000</v>
      </c>
      <c r="D3" s="3">
        <v>40000</v>
      </c>
      <c r="E3" s="3">
        <v>55000</v>
      </c>
      <c r="F3" s="1"/>
      <c r="G3" s="1" t="s">
        <v>14</v>
      </c>
      <c r="H3" s="1">
        <v>3</v>
      </c>
      <c r="I3" s="1">
        <v>2</v>
      </c>
      <c r="J3" s="1">
        <v>5</v>
      </c>
      <c r="K3" s="1">
        <v>3</v>
      </c>
    </row>
    <row r="4" spans="1:11" x14ac:dyDescent="0.25">
      <c r="A4" s="1" t="s">
        <v>10</v>
      </c>
      <c r="B4" s="3">
        <v>225000</v>
      </c>
      <c r="C4" s="3">
        <v>95000</v>
      </c>
      <c r="D4" s="3">
        <v>105000</v>
      </c>
      <c r="E4" s="3">
        <v>85000</v>
      </c>
      <c r="F4" s="1"/>
      <c r="G4" s="1" t="s">
        <v>15</v>
      </c>
      <c r="H4" s="1">
        <v>3</v>
      </c>
      <c r="I4" s="1">
        <v>4</v>
      </c>
      <c r="J4" s="1">
        <v>2</v>
      </c>
      <c r="K4" s="1">
        <v>4</v>
      </c>
    </row>
    <row r="5" spans="1:11" x14ac:dyDescent="0.25">
      <c r="A5" s="1" t="s">
        <v>11</v>
      </c>
      <c r="B5" s="3">
        <v>170000</v>
      </c>
      <c r="C5" s="3">
        <v>30000</v>
      </c>
      <c r="D5" s="3">
        <v>40000</v>
      </c>
      <c r="E5" s="3">
        <v>50000</v>
      </c>
      <c r="F5" s="3">
        <v>60000</v>
      </c>
      <c r="G5" s="1" t="s">
        <v>16</v>
      </c>
      <c r="H5" s="1">
        <v>4</v>
      </c>
      <c r="I5" s="1">
        <v>1</v>
      </c>
      <c r="J5" s="1">
        <v>3</v>
      </c>
      <c r="K5" s="1">
        <v>2</v>
      </c>
    </row>
    <row r="6" spans="1:11" x14ac:dyDescent="0.25">
      <c r="A6" s="1" t="s">
        <v>12</v>
      </c>
      <c r="B6" s="3">
        <v>120000</v>
      </c>
      <c r="C6" s="3">
        <v>55000</v>
      </c>
      <c r="D6" s="3">
        <v>60000</v>
      </c>
      <c r="E6" s="1" t="s">
        <v>20</v>
      </c>
      <c r="F6" s="1"/>
      <c r="G6" s="1" t="s">
        <v>14</v>
      </c>
      <c r="H6" s="1">
        <v>3</v>
      </c>
      <c r="I6" s="1">
        <v>3</v>
      </c>
      <c r="J6" s="1">
        <v>4</v>
      </c>
      <c r="K6" s="1">
        <v>4</v>
      </c>
    </row>
    <row r="10" spans="1:11" x14ac:dyDescent="0.25">
      <c r="A10" s="2" t="s">
        <v>0</v>
      </c>
      <c r="B10" s="2" t="s">
        <v>1</v>
      </c>
      <c r="C10" s="2" t="s">
        <v>17</v>
      </c>
      <c r="D10" s="2" t="s">
        <v>18</v>
      </c>
      <c r="E10" s="2" t="s">
        <v>19</v>
      </c>
    </row>
    <row r="11" spans="1:11" x14ac:dyDescent="0.25">
      <c r="A11" s="2" t="s">
        <v>8</v>
      </c>
      <c r="B11" s="4">
        <v>150000</v>
      </c>
      <c r="C11" s="5">
        <v>40685.19</v>
      </c>
      <c r="D11" s="5">
        <f>(C11/B11)*100</f>
        <v>27.123459999999998</v>
      </c>
      <c r="E11" s="2" t="s">
        <v>21</v>
      </c>
    </row>
    <row r="12" spans="1:11" x14ac:dyDescent="0.25">
      <c r="A12" s="2" t="s">
        <v>9</v>
      </c>
      <c r="B12" s="4">
        <v>100000</v>
      </c>
      <c r="C12" s="6">
        <v>14685.19</v>
      </c>
      <c r="D12" s="2">
        <f>(C12/B12)*100</f>
        <v>14.68519</v>
      </c>
      <c r="E12" s="2" t="s">
        <v>22</v>
      </c>
    </row>
    <row r="13" spans="1:11" x14ac:dyDescent="0.25">
      <c r="A13" s="2" t="s">
        <v>10</v>
      </c>
      <c r="B13" s="4">
        <v>225000</v>
      </c>
      <c r="C13" s="6">
        <v>40685.19</v>
      </c>
      <c r="D13" s="2">
        <f>(C13/B13)*100</f>
        <v>18.082306666666668</v>
      </c>
      <c r="E13" s="2" t="s">
        <v>22</v>
      </c>
    </row>
    <row r="14" spans="1:11" x14ac:dyDescent="0.25">
      <c r="A14" s="2" t="s">
        <v>11</v>
      </c>
      <c r="B14" s="4">
        <v>170000</v>
      </c>
      <c r="C14" s="6">
        <v>44685.19</v>
      </c>
      <c r="D14" s="2">
        <f>(C14/B14)*100</f>
        <v>26.28540588235294</v>
      </c>
      <c r="E14" s="2" t="s">
        <v>21</v>
      </c>
    </row>
    <row r="15" spans="1:11" x14ac:dyDescent="0.25">
      <c r="A15" s="2" t="s">
        <v>12</v>
      </c>
      <c r="B15" s="4">
        <v>120000</v>
      </c>
      <c r="C15" s="6">
        <v>17255.740000000002</v>
      </c>
      <c r="D15" s="2">
        <f>(C15/B15)*100</f>
        <v>14.379783333333334</v>
      </c>
      <c r="E15" s="2" t="s">
        <v>22</v>
      </c>
    </row>
    <row r="17" spans="1:9" x14ac:dyDescent="0.25">
      <c r="A17" s="7" t="s">
        <v>0</v>
      </c>
      <c r="B17" s="7" t="s">
        <v>23</v>
      </c>
      <c r="C17" s="7" t="s">
        <v>24</v>
      </c>
      <c r="D17" s="7" t="s">
        <v>5</v>
      </c>
      <c r="E17" s="7" t="s">
        <v>25</v>
      </c>
      <c r="F17" s="7" t="s">
        <v>26</v>
      </c>
      <c r="G17" s="7" t="s">
        <v>27</v>
      </c>
      <c r="H17" s="7" t="s">
        <v>28</v>
      </c>
      <c r="I17" s="7"/>
    </row>
    <row r="18" spans="1:9" x14ac:dyDescent="0.25">
      <c r="A18" s="7" t="s">
        <v>8</v>
      </c>
      <c r="B18" s="9">
        <f>(C11-MIN(C11:C15))/(MAX(C11:C15)-MIN(C11:C15))*4+1</f>
        <v>4.4666666666666668</v>
      </c>
      <c r="C18" s="7">
        <f>((D11-MIN(D11:D15))/(MAX(D11:D15)-MIN(D11:D15)))*4+1</f>
        <v>5</v>
      </c>
      <c r="D18" s="7">
        <v>3</v>
      </c>
      <c r="E18" s="7">
        <f>(MAX(H2:H6)-D18/(MAX(H2:H6))*4+1)</f>
        <v>2</v>
      </c>
      <c r="F18" s="7">
        <v>4</v>
      </c>
      <c r="G18" s="7">
        <v>5</v>
      </c>
      <c r="H18" s="9">
        <f>B18*0.4+C18*0.3+E18*0.15+F18*0.1+G18*0.05</f>
        <v>4.2366666666666664</v>
      </c>
      <c r="I18" s="7"/>
    </row>
    <row r="19" spans="1:9" x14ac:dyDescent="0.25">
      <c r="A19" s="7" t="s">
        <v>9</v>
      </c>
      <c r="B19" s="7">
        <f>(C12-MIN(C12:C15))/(MAX(C12:C15)-MIN(C12:C15))*4+1</f>
        <v>1</v>
      </c>
      <c r="C19" s="7">
        <f>((D12-MIN(D12:D15))/(MAX(D12:D15)-MIN(D12:D15)))*4+1</f>
        <v>1.1026092219568362</v>
      </c>
      <c r="D19" s="7">
        <v>2</v>
      </c>
      <c r="E19" s="7">
        <f>(MAX(H3:H6)-D19/(MAX(H3:H6))*4+1)</f>
        <v>3</v>
      </c>
      <c r="F19" s="7">
        <v>5</v>
      </c>
      <c r="G19" s="7">
        <v>3</v>
      </c>
      <c r="H19" s="9">
        <f>B19*0.4+C19*0.3+E19*0.15+F19*0.1+G19*0.05</f>
        <v>1.8307827665870509</v>
      </c>
      <c r="I19" s="7"/>
    </row>
    <row r="20" spans="1:9" x14ac:dyDescent="0.25">
      <c r="A20" s="7" t="s">
        <v>10</v>
      </c>
      <c r="B20" s="7">
        <f>(C13-MIN(C13:C15))/(MAX(C13:C15)-MIN(C13:C15))*4+1</f>
        <v>4.416685350964018</v>
      </c>
      <c r="C20" s="7">
        <f>((D13-MIN(D13:D15))/(MAX(D13:D15)-MIN(D13:D15)))*4+1</f>
        <v>2.2439579091605673</v>
      </c>
      <c r="D20" s="7">
        <v>4</v>
      </c>
      <c r="E20" s="7">
        <f>(MAX(H4:H6)-D20/(MAX(H4:H6))*4+1)</f>
        <v>1</v>
      </c>
      <c r="F20" s="7">
        <v>2</v>
      </c>
      <c r="G20" s="7">
        <v>4</v>
      </c>
      <c r="H20" s="7">
        <f>B20*0.4+C20*0.3+E20*0.15+F20*0.1+G20*0.05</f>
        <v>2.9898615131337776</v>
      </c>
      <c r="I20" s="7"/>
    </row>
    <row r="21" spans="1:9" x14ac:dyDescent="0.25">
      <c r="A21" s="7" t="s">
        <v>11</v>
      </c>
      <c r="B21" s="7">
        <f>(C14-MIN(C14:C15))/(MAX(C14:C15)-MIN(C14:C15))*4+1</f>
        <v>5</v>
      </c>
      <c r="C21" s="7">
        <f>((D14-MIN(D14:D15))/(MAX(D14:D15)-MIN(D14:D15)))*4+1</f>
        <v>5</v>
      </c>
      <c r="D21" s="7">
        <v>1</v>
      </c>
      <c r="E21" s="7">
        <f>(MAX(H5:H6)-D21/(MAX(H4:H6))*4+1)</f>
        <v>4</v>
      </c>
      <c r="F21" s="7">
        <v>3</v>
      </c>
      <c r="G21" s="7">
        <v>2</v>
      </c>
      <c r="H21" s="7">
        <f>B21*0.4+C21*0.3+E21*0.15+F21*0.1+G21*0.05</f>
        <v>4.4999999999999991</v>
      </c>
      <c r="I21" s="7"/>
    </row>
    <row r="22" spans="1:9" x14ac:dyDescent="0.25">
      <c r="A22" s="7" t="s">
        <v>12</v>
      </c>
      <c r="B22" s="7">
        <f>((C15-MIN(C11:C15))/(MAX(C11:C15)-MIN(C11:C15)))*4+1</f>
        <v>1.34274</v>
      </c>
      <c r="C22" s="7">
        <f>((D15-MIN(D11:D15))/(MAX(D11:D15)-MIN(D11:D15)))*4+1</f>
        <v>1</v>
      </c>
      <c r="D22" s="7">
        <v>3</v>
      </c>
      <c r="E22" s="7">
        <f>(MAX(H2:H6)-D22/(MAX(H2:H6))*4+1)</f>
        <v>2</v>
      </c>
      <c r="F22" s="7">
        <v>4</v>
      </c>
      <c r="G22" s="7">
        <v>4</v>
      </c>
      <c r="H22" s="7">
        <f>B22*0.4+C22*0.3+E22*0.15+F22*0.1+G22*0.05</f>
        <v>1.737096</v>
      </c>
      <c r="I2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3608-E7A3-4065-A97F-EBA65AFBB9E8}">
  <dimension ref="A1:D5"/>
  <sheetViews>
    <sheetView tabSelected="1" workbookViewId="0">
      <selection activeCell="D1" sqref="D1:D5"/>
    </sheetView>
  </sheetViews>
  <sheetFormatPr defaultRowHeight="15" x14ac:dyDescent="0.25"/>
  <cols>
    <col min="1" max="1" width="10" customWidth="1"/>
    <col min="2" max="2" width="10.5703125" bestFit="1" customWidth="1"/>
  </cols>
  <sheetData>
    <row r="1" spans="1:4" x14ac:dyDescent="0.25">
      <c r="A1" s="7" t="s">
        <v>8</v>
      </c>
      <c r="B1" s="5">
        <v>40685.19</v>
      </c>
      <c r="C1" s="5">
        <v>27.12</v>
      </c>
      <c r="D1" s="8">
        <v>4.24</v>
      </c>
    </row>
    <row r="2" spans="1:4" x14ac:dyDescent="0.25">
      <c r="A2" s="7" t="s">
        <v>9</v>
      </c>
      <c r="B2" s="6">
        <v>14685.19</v>
      </c>
      <c r="C2" s="2">
        <v>14.68519</v>
      </c>
      <c r="D2" s="8">
        <v>1.83</v>
      </c>
    </row>
    <row r="3" spans="1:4" x14ac:dyDescent="0.25">
      <c r="A3" s="7" t="s">
        <v>10</v>
      </c>
      <c r="B3" s="6">
        <v>40685.19</v>
      </c>
      <c r="C3" s="2">
        <v>18.082306670000001</v>
      </c>
      <c r="D3" s="8">
        <v>2.9898615130000001</v>
      </c>
    </row>
    <row r="4" spans="1:4" x14ac:dyDescent="0.25">
      <c r="A4" s="7" t="s">
        <v>11</v>
      </c>
      <c r="B4" s="6">
        <v>44685.19</v>
      </c>
      <c r="C4" s="2">
        <v>26.285405879999999</v>
      </c>
      <c r="D4" s="8">
        <v>4.5</v>
      </c>
    </row>
    <row r="5" spans="1:4" x14ac:dyDescent="0.25">
      <c r="A5" s="7" t="s">
        <v>12</v>
      </c>
      <c r="B5" s="6">
        <v>17255.740000000002</v>
      </c>
      <c r="C5" s="2">
        <v>14.37978333</v>
      </c>
      <c r="D5" s="8">
        <v>1.737096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2026-09-01T12:08:07Z</dcterms:created>
  <dcterms:modified xsi:type="dcterms:W3CDTF">2026-09-01T13:54:26Z</dcterms:modified>
</cp:coreProperties>
</file>