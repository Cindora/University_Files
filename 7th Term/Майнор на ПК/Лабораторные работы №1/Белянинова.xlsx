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3" sheetId="1" r:id="rId5"/>
    <sheet state="visible" name="Лист1" sheetId="2" r:id="rId6"/>
    <sheet state="visible" name="Лист2" sheetId="3" r:id="rId7"/>
  </sheets>
  <definedNames/>
  <calcPr/>
</workbook>
</file>

<file path=xl/sharedStrings.xml><?xml version="1.0" encoding="utf-8"?>
<sst xmlns="http://schemas.openxmlformats.org/spreadsheetml/2006/main" count="51" uniqueCount="31">
  <si>
    <t>Таблица 1, альтернативы</t>
  </si>
  <si>
    <t>Белянинова Алёна</t>
  </si>
  <si>
    <t>ИТА-123</t>
  </si>
  <si>
    <t>Проект</t>
  </si>
  <si>
    <t>Лаб. 1, Вар 9, 01.09</t>
  </si>
  <si>
    <t>Инвестиции</t>
  </si>
  <si>
    <t>Потоки</t>
  </si>
  <si>
    <t xml:space="preserve">Ставка </t>
  </si>
  <si>
    <t>Горизонт</t>
  </si>
  <si>
    <t>Риск</t>
  </si>
  <si>
    <t>Простота</t>
  </si>
  <si>
    <t>Ценность</t>
  </si>
  <si>
    <t>А1</t>
  </si>
  <si>
    <t>А2</t>
  </si>
  <si>
    <t>А3</t>
  </si>
  <si>
    <t>А4</t>
  </si>
  <si>
    <t>А5</t>
  </si>
  <si>
    <t>Ограничение:</t>
  </si>
  <si>
    <t xml:space="preserve"> Инвестиции ≤ 210,000 руб.</t>
  </si>
  <si>
    <t>Критерии и веса:</t>
  </si>
  <si>
    <t xml:space="preserve">NPV (0.4), ROI (0.3), Риск (0.15), Простота (0.05), Социальная значимость (0.1)
</t>
  </si>
  <si>
    <t>Таблица 2, расчеты</t>
  </si>
  <si>
    <t>NPV</t>
  </si>
  <si>
    <t>ROL, %</t>
  </si>
  <si>
    <t>Допустимость</t>
  </si>
  <si>
    <t>Таблица 3, расчеты критерии: NPV (0.4), ROI (0.3), Риск (0.15), Простота (0.05), Социальная значимость (0.1)</t>
  </si>
  <si>
    <t>NPV норм</t>
  </si>
  <si>
    <t>ROV норм</t>
  </si>
  <si>
    <t>Риск норм</t>
  </si>
  <si>
    <t>Взвешанная сумма</t>
  </si>
  <si>
    <t>Вывод: Альтернатива А1 является лучшей, что можно увидеть из графиков и роасчетов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</si>
</sst>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'Times New Roman'"/>
    </font>
    <font>
      <color rgb="FFCC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1" numFmtId="164" xfId="0" applyBorder="1" applyFont="1" applyNumberFormat="1"/>
    <xf borderId="1" fillId="0" fontId="4" numFmtId="164" xfId="0" applyBorder="1" applyFont="1" applyNumberFormat="1"/>
    <xf borderId="1" fillId="2" fontId="1" numFmtId="0" xfId="0" applyAlignment="1" applyBorder="1" applyFill="1" applyFont="1">
      <alignment readingOrder="0" shrinkToFit="0" wrapText="1"/>
    </xf>
    <xf borderId="1" fillId="0" fontId="1" numFmtId="2" xfId="0" applyBorder="1" applyFont="1" applyNumberFormat="1"/>
    <xf borderId="1" fillId="3" fontId="1" numFmtId="0" xfId="0" applyBorder="1" applyFill="1" applyFont="1"/>
    <xf borderId="0" fillId="0" fontId="1" numFmtId="4" xfId="0" applyFont="1" applyNumberFormat="1"/>
    <xf borderId="1" fillId="0" fontId="5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NPV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'Лист2'!$A$2:$A$5</c:f>
            </c:strRef>
          </c:cat>
          <c:val>
            <c:numRef>
              <c:f>'Лист2'!$B$2:$B$5</c:f>
              <c:numCache/>
            </c:numRef>
          </c:val>
        </c:ser>
        <c:axId val="385043619"/>
        <c:axId val="1874266858"/>
      </c:barChart>
      <c:catAx>
        <c:axId val="385043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266858"/>
      </c:catAx>
      <c:valAx>
        <c:axId val="1874266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043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'Лист2'!$A$2:$A$5</c:f>
            </c:strRef>
          </c:cat>
          <c:val>
            <c:numRef>
              <c:f>'Лист2'!$C$2:$C$5</c:f>
              <c:numCache/>
            </c:numRef>
          </c:val>
        </c:ser>
        <c:axId val="755050262"/>
        <c:axId val="1991753256"/>
      </c:barChart>
      <c:catAx>
        <c:axId val="755050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753256"/>
      </c:catAx>
      <c:valAx>
        <c:axId val="199175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050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сумма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'Лист2'!$A$2:$A$5</c:f>
            </c:strRef>
          </c:cat>
          <c:val>
            <c:numRef>
              <c:f>'Лист2'!$D$2:$D$5</c:f>
              <c:numCache/>
            </c:numRef>
          </c:val>
        </c:ser>
        <c:axId val="561261217"/>
        <c:axId val="1927853420"/>
      </c:barChart>
      <c:catAx>
        <c:axId val="561261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853420"/>
      </c:catAx>
      <c:valAx>
        <c:axId val="1927853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261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7</xdr:row>
      <xdr:rowOff>95250</xdr:rowOff>
    </xdr:from>
    <xdr:ext cx="4362450" cy="26955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323850</xdr:colOff>
      <xdr:row>7</xdr:row>
      <xdr:rowOff>95250</xdr:rowOff>
    </xdr:from>
    <xdr:ext cx="4362450" cy="26955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333375</xdr:colOff>
      <xdr:row>7</xdr:row>
      <xdr:rowOff>95250</xdr:rowOff>
    </xdr:from>
    <xdr:ext cx="4305300" cy="26955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1</v>
      </c>
    </row>
    <row r="5">
      <c r="A5" s="1" t="s">
        <v>2</v>
      </c>
    </row>
    <row r="6">
      <c r="A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2" t="s">
        <v>3</v>
      </c>
      <c r="B3" s="2" t="s">
        <v>5</v>
      </c>
      <c r="C3" s="3" t="s">
        <v>6</v>
      </c>
      <c r="D3" s="4"/>
      <c r="E3" s="4"/>
      <c r="F3" s="5"/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>
      <c r="A4" s="6" t="s">
        <v>12</v>
      </c>
      <c r="B4" s="7">
        <v>150000.0</v>
      </c>
      <c r="C4" s="6">
        <v>80000.0</v>
      </c>
      <c r="D4" s="6">
        <v>90000.0</v>
      </c>
      <c r="E4" s="6">
        <v>70000.0</v>
      </c>
      <c r="F4" s="8"/>
      <c r="G4" s="9">
        <v>0.1</v>
      </c>
      <c r="H4" s="6">
        <v>3.0</v>
      </c>
      <c r="I4" s="6">
        <v>3.0</v>
      </c>
      <c r="J4" s="6">
        <v>4.0</v>
      </c>
      <c r="K4" s="6">
        <v>5.0</v>
      </c>
    </row>
    <row r="5">
      <c r="A5" s="6" t="s">
        <v>13</v>
      </c>
      <c r="B5" s="6">
        <v>100000.0</v>
      </c>
      <c r="C5" s="6">
        <v>45000.0</v>
      </c>
      <c r="D5" s="6">
        <v>40000.0</v>
      </c>
      <c r="E5" s="6">
        <v>55000.0</v>
      </c>
      <c r="F5" s="8"/>
      <c r="G5" s="9">
        <v>0.09</v>
      </c>
      <c r="H5" s="6">
        <v>3.0</v>
      </c>
      <c r="I5" s="6">
        <v>2.0</v>
      </c>
      <c r="J5" s="6">
        <v>5.0</v>
      </c>
      <c r="K5" s="6">
        <v>3.0</v>
      </c>
    </row>
    <row r="6">
      <c r="A6" s="6" t="s">
        <v>14</v>
      </c>
      <c r="B6" s="6">
        <v>220000.0</v>
      </c>
      <c r="C6" s="6">
        <v>95000.0</v>
      </c>
      <c r="D6" s="9">
        <v>105000.0</v>
      </c>
      <c r="E6" s="9">
        <v>85000.0</v>
      </c>
      <c r="F6" s="8"/>
      <c r="G6" s="9">
        <v>0.08</v>
      </c>
      <c r="H6" s="6">
        <v>3.0</v>
      </c>
      <c r="I6" s="6">
        <v>4.0</v>
      </c>
      <c r="J6" s="6">
        <v>2.0</v>
      </c>
      <c r="K6" s="6">
        <v>4.0</v>
      </c>
    </row>
    <row r="7">
      <c r="A7" s="6" t="s">
        <v>15</v>
      </c>
      <c r="B7" s="6">
        <v>170000.0</v>
      </c>
      <c r="C7" s="6">
        <v>30000.0</v>
      </c>
      <c r="D7" s="6">
        <v>40000.0</v>
      </c>
      <c r="E7" s="6">
        <v>50000.0</v>
      </c>
      <c r="F7" s="6">
        <v>60000.0</v>
      </c>
      <c r="G7" s="9">
        <v>0.11</v>
      </c>
      <c r="H7" s="6">
        <v>4.0</v>
      </c>
      <c r="I7" s="6">
        <v>1.0</v>
      </c>
      <c r="J7" s="6">
        <v>3.0</v>
      </c>
      <c r="K7" s="6">
        <v>2.0</v>
      </c>
    </row>
    <row r="8">
      <c r="A8" s="6" t="s">
        <v>16</v>
      </c>
      <c r="B8" s="6">
        <v>120000.0</v>
      </c>
      <c r="C8" s="6">
        <v>55000.0</v>
      </c>
      <c r="D8" s="6">
        <v>60000.0</v>
      </c>
      <c r="E8" s="6">
        <v>50000.0</v>
      </c>
      <c r="F8" s="8"/>
      <c r="G8" s="9">
        <v>0.09</v>
      </c>
      <c r="H8" s="6">
        <v>3.0</v>
      </c>
      <c r="I8" s="6">
        <v>3.0</v>
      </c>
      <c r="J8" s="6">
        <v>4.0</v>
      </c>
      <c r="K8" s="6">
        <v>4.0</v>
      </c>
    </row>
    <row r="10">
      <c r="A10" s="7" t="s">
        <v>17</v>
      </c>
      <c r="B10" s="7" t="s">
        <v>18</v>
      </c>
    </row>
    <row r="11">
      <c r="A11" s="10" t="s">
        <v>19</v>
      </c>
      <c r="B11" s="1" t="s">
        <v>20</v>
      </c>
    </row>
    <row r="14">
      <c r="A14" s="1" t="s">
        <v>21</v>
      </c>
    </row>
    <row r="15">
      <c r="A15" s="2" t="s">
        <v>3</v>
      </c>
      <c r="B15" s="2" t="s">
        <v>5</v>
      </c>
      <c r="C15" s="2" t="s">
        <v>22</v>
      </c>
      <c r="D15" s="2" t="s">
        <v>23</v>
      </c>
      <c r="E15" s="2" t="s">
        <v>24</v>
      </c>
    </row>
    <row r="16">
      <c r="A16" s="6" t="s">
        <v>12</v>
      </c>
      <c r="B16" s="9">
        <v>150000.0</v>
      </c>
      <c r="C16" s="11">
        <v>49699.47407963933</v>
      </c>
      <c r="D16" s="11">
        <f t="shared" ref="D16:D20" si="1">(C16/B4)*100</f>
        <v>33.13298272</v>
      </c>
      <c r="E16" s="8" t="str">
        <f t="shared" ref="E16:E20" si="2">IF(B16&lt;=210000,"да","нет")</f>
        <v>да</v>
      </c>
    </row>
    <row r="17">
      <c r="A17" s="6" t="s">
        <v>13</v>
      </c>
      <c r="B17" s="6">
        <v>100000.0</v>
      </c>
      <c r="C17" s="11">
        <v>17421.69480374569</v>
      </c>
      <c r="D17" s="11">
        <f t="shared" si="1"/>
        <v>17.4216948</v>
      </c>
      <c r="E17" s="8" t="str">
        <f t="shared" si="2"/>
        <v>да</v>
      </c>
    </row>
    <row r="18">
      <c r="A18" s="6" t="s">
        <v>14</v>
      </c>
      <c r="B18" s="6">
        <v>220000.0</v>
      </c>
      <c r="C18" s="11">
        <v>25459.279581364593</v>
      </c>
      <c r="D18" s="11">
        <f t="shared" si="1"/>
        <v>11.57239981</v>
      </c>
      <c r="E18" s="8" t="str">
        <f t="shared" si="2"/>
        <v>нет</v>
      </c>
    </row>
    <row r="19">
      <c r="A19" s="6" t="s">
        <v>15</v>
      </c>
      <c r="B19" s="6">
        <v>170000.0</v>
      </c>
      <c r="C19" s="12">
        <v>-34424.648129463254</v>
      </c>
      <c r="D19" s="12">
        <f t="shared" si="1"/>
        <v>-20.24979302</v>
      </c>
      <c r="E19" s="8" t="str">
        <f t="shared" si="2"/>
        <v>да</v>
      </c>
    </row>
    <row r="20">
      <c r="A20" s="6" t="s">
        <v>16</v>
      </c>
      <c r="B20" s="6">
        <v>120000.0</v>
      </c>
      <c r="C20" s="11">
        <v>19568.689195377054</v>
      </c>
      <c r="D20" s="11">
        <f t="shared" si="1"/>
        <v>16.307241</v>
      </c>
      <c r="E20" s="8" t="str">
        <f t="shared" si="2"/>
        <v>да</v>
      </c>
    </row>
    <row r="24">
      <c r="A24" s="1" t="s">
        <v>25</v>
      </c>
    </row>
    <row r="25">
      <c r="A25" s="2" t="s">
        <v>3</v>
      </c>
      <c r="B25" s="2" t="s">
        <v>26</v>
      </c>
      <c r="C25" s="2" t="s">
        <v>27</v>
      </c>
      <c r="D25" s="2" t="s">
        <v>9</v>
      </c>
      <c r="E25" s="2" t="s">
        <v>28</v>
      </c>
      <c r="F25" s="2" t="s">
        <v>10</v>
      </c>
      <c r="G25" s="2" t="s">
        <v>11</v>
      </c>
      <c r="H25" s="13" t="s">
        <v>29</v>
      </c>
    </row>
    <row r="26">
      <c r="A26" s="6" t="s">
        <v>12</v>
      </c>
      <c r="B26" s="14">
        <f t="shared" ref="B26:B27" si="3">(C16-MIN($C$16:$C$20))/(MAX($C$16:$C$20)-MIN($C$16:$C$20))*4+1</f>
        <v>5</v>
      </c>
      <c r="C26" s="14">
        <f t="shared" ref="C26:C29" si="4">(D16-MIN($D$16:$D$20))/(MAX($D$16:$D$20)-MIN($D$16:$D$20))*4+1</f>
        <v>5</v>
      </c>
      <c r="D26" s="6">
        <v>3.0</v>
      </c>
      <c r="E26" s="8">
        <f t="shared" ref="E26:E29" si="5">(MAX($D$26:$D$29)-D26)/(MAX($D$26:$D$29)-MIN($D$26:$D$29))*4+1</f>
        <v>1</v>
      </c>
      <c r="F26" s="6">
        <v>4.0</v>
      </c>
      <c r="G26" s="6">
        <v>5.0</v>
      </c>
      <c r="H26" s="15">
        <f t="shared" ref="H26:H29" si="6">B26*0.4+C26*0.3+E26*0.15+F26*0.05+G26*0.1</f>
        <v>4.35</v>
      </c>
    </row>
    <row r="27">
      <c r="A27" s="6" t="s">
        <v>13</v>
      </c>
      <c r="B27" s="14">
        <f t="shared" si="3"/>
        <v>3.465230736</v>
      </c>
      <c r="C27" s="14">
        <f t="shared" si="4"/>
        <v>3.822744775</v>
      </c>
      <c r="D27" s="6">
        <v>2.0</v>
      </c>
      <c r="E27" s="8">
        <f t="shared" si="5"/>
        <v>3</v>
      </c>
      <c r="F27" s="6">
        <v>5.0</v>
      </c>
      <c r="G27" s="6">
        <v>3.0</v>
      </c>
      <c r="H27" s="14">
        <f t="shared" si="6"/>
        <v>3.532915727</v>
      </c>
    </row>
    <row r="28">
      <c r="A28" s="6" t="s">
        <v>15</v>
      </c>
      <c r="B28" s="14">
        <f t="shared" ref="B28:B29" si="7">(C19-MIN($C$16:$C$20))/(MAX($C$16:$C$20)-MIN($C$16:$C$20))*4+1</f>
        <v>1</v>
      </c>
      <c r="C28" s="14">
        <f t="shared" si="4"/>
        <v>3.384453966</v>
      </c>
      <c r="D28" s="6">
        <v>1.0</v>
      </c>
      <c r="E28" s="8">
        <f t="shared" si="5"/>
        <v>5</v>
      </c>
      <c r="F28" s="6">
        <v>3.0</v>
      </c>
      <c r="G28" s="6">
        <v>2.0</v>
      </c>
      <c r="H28" s="14">
        <f t="shared" si="6"/>
        <v>2.51533619</v>
      </c>
    </row>
    <row r="29">
      <c r="A29" s="6" t="s">
        <v>16</v>
      </c>
      <c r="B29" s="14">
        <f t="shared" si="7"/>
        <v>3.567317716</v>
      </c>
      <c r="C29" s="14">
        <f t="shared" si="4"/>
        <v>1</v>
      </c>
      <c r="D29" s="6">
        <v>3.0</v>
      </c>
      <c r="E29" s="8">
        <f t="shared" si="5"/>
        <v>1</v>
      </c>
      <c r="F29" s="6">
        <v>4.0</v>
      </c>
      <c r="G29" s="6">
        <v>4.0</v>
      </c>
      <c r="H29" s="14">
        <f t="shared" si="6"/>
        <v>2.476927086</v>
      </c>
    </row>
  </sheetData>
  <mergeCells count="2">
    <mergeCell ref="C3:F3"/>
    <mergeCell ref="A14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D1" s="16"/>
    </row>
    <row r="2">
      <c r="A2" s="6" t="s">
        <v>12</v>
      </c>
      <c r="B2" s="17">
        <v>49699.47407963933</v>
      </c>
      <c r="C2" s="16">
        <v>33.13298271975955</v>
      </c>
      <c r="D2" s="16">
        <v>4.35</v>
      </c>
    </row>
    <row r="3">
      <c r="A3" s="6" t="s">
        <v>13</v>
      </c>
      <c r="B3" s="17">
        <v>17421.69480374569</v>
      </c>
      <c r="C3" s="16">
        <v>17.42169480374569</v>
      </c>
      <c r="D3" s="16">
        <v>3.5329157269994145</v>
      </c>
    </row>
    <row r="4">
      <c r="A4" s="6" t="s">
        <v>15</v>
      </c>
      <c r="B4" s="17">
        <v>-34424.648129463254</v>
      </c>
      <c r="C4" s="16">
        <v>-20.249793017331324</v>
      </c>
      <c r="D4" s="16">
        <v>2.515336189720059</v>
      </c>
    </row>
    <row r="5">
      <c r="A5" s="6" t="s">
        <v>16</v>
      </c>
      <c r="B5" s="17">
        <v>19568.689195377054</v>
      </c>
      <c r="C5" s="16">
        <v>16.307240996147545</v>
      </c>
      <c r="D5" s="16">
        <v>2.4769270864427138</v>
      </c>
    </row>
    <row r="25">
      <c r="A25" s="1" t="s">
        <v>30</v>
      </c>
    </row>
  </sheetData>
  <drawing r:id="rId1"/>
</worksheet>
</file>