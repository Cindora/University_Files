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4334"/>
  <workbookPr defaultThemeVersion="166925"/>
  <mc:AlternateContent xmlns:mc="http://schemas.openxmlformats.org/markup-compatibility/2006">
    <mc:Choice Requires="x15">
      <x15ac:absPath xmlns:x15ac="http://schemas.microsoft.com/office/spreadsheetml/2010/11/ac" url="Z:\майнорСППУР\Лабораторные работы №1\"/>
    </mc:Choice>
  </mc:AlternateContent>
  <xr:revisionPtr revIDLastSave="0" documentId="13_ncr:1_{9E1311A0-5B3D-4365-9EE0-1901EECD493C}" xr6:coauthVersionLast="47" xr6:coauthVersionMax="47" xr10:uidLastSave="{00000000-0000-0000-0000-000000000000}"/>
  <bookViews>
    <workbookView xWindow="-120" yWindow="-120" windowWidth="29040" windowHeight="15720" activeTab="2" xr2:uid="{3FE9432A-6CEE-4701-935E-D3CC07F24796}"/>
  </bookViews>
  <sheets>
    <sheet name="Лист1" sheetId="1" r:id="rId1"/>
    <sheet name="Лист2" sheetId="2" r:id="rId2"/>
    <sheet name="Лист3" sheetId="3" r:id="rId3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calcChain.xml><?xml version="1.0" encoding="utf-8"?>
<calcChain xmlns="http://schemas.openxmlformats.org/spreadsheetml/2006/main">
  <c r="C14" i="2" l="1"/>
  <c r="B24" i="2" s="1"/>
  <c r="E25" i="2"/>
  <c r="E24" i="2"/>
  <c r="E23" i="2"/>
  <c r="E26" i="2"/>
  <c r="E15" i="2"/>
  <c r="E16" i="2"/>
  <c r="E17" i="2"/>
  <c r="E18" i="2"/>
  <c r="E14" i="2"/>
  <c r="C17" i="2"/>
  <c r="D17" i="2" s="1"/>
  <c r="C15" i="2"/>
  <c r="D15" i="2" s="1"/>
  <c r="C16" i="2"/>
  <c r="D16" i="2" s="1"/>
  <c r="C18" i="2"/>
  <c r="D18" i="2" s="1"/>
  <c r="B26" i="2" l="1"/>
  <c r="B25" i="2"/>
  <c r="D14" i="2"/>
  <c r="B23" i="2"/>
  <c r="H23" i="2" l="1"/>
  <c r="H26" i="2"/>
  <c r="C23" i="2"/>
  <c r="C26" i="2"/>
  <c r="C25" i="2"/>
  <c r="H25" i="2" s="1"/>
  <c r="C24" i="2"/>
  <c r="H24" i="2" s="1"/>
</calcChain>
</file>

<file path=xl/sharedStrings.xml><?xml version="1.0" encoding="utf-8"?>
<sst xmlns="http://schemas.openxmlformats.org/spreadsheetml/2006/main" count="51" uniqueCount="32">
  <si>
    <t>Таблица 1. Альтернативы</t>
  </si>
  <si>
    <t>Проект</t>
  </si>
  <si>
    <t>Инвестиции, руб</t>
  </si>
  <si>
    <t>Потоки, руб</t>
  </si>
  <si>
    <t>Ставка</t>
  </si>
  <si>
    <t>Горизонт, лет</t>
  </si>
  <si>
    <t>Риск</t>
  </si>
  <si>
    <t xml:space="preserve">Простота </t>
  </si>
  <si>
    <t>Ценность</t>
  </si>
  <si>
    <t>А1</t>
  </si>
  <si>
    <t>А2</t>
  </si>
  <si>
    <t>А3</t>
  </si>
  <si>
    <t>А4</t>
  </si>
  <si>
    <t>А5</t>
  </si>
  <si>
    <r>
      <t xml:space="preserve">Ограничения: </t>
    </r>
    <r>
      <rPr>
        <sz val="11"/>
        <color theme="1"/>
        <rFont val="Calibri"/>
        <family val="2"/>
        <charset val="204"/>
        <scheme val="minor"/>
      </rPr>
      <t xml:space="preserve">Объем инвестиций не должен превышать 200,000 руб. </t>
    </r>
  </si>
  <si>
    <r>
      <t xml:space="preserve">Проблема: </t>
    </r>
    <r>
      <rPr>
        <sz val="11"/>
        <color theme="1"/>
        <rFont val="Calibri"/>
        <family val="2"/>
        <charset val="204"/>
        <scheme val="minor"/>
      </rPr>
      <t>Необходимо выбрать оптимальный инвестиционный проект для вложения средств в стартап.</t>
    </r>
  </si>
  <si>
    <r>
      <t>Цель:</t>
    </r>
    <r>
      <rPr>
        <sz val="11"/>
        <color theme="1"/>
        <rFont val="Calibri"/>
        <family val="2"/>
        <charset val="204"/>
        <scheme val="minor"/>
      </rPr>
      <t xml:space="preserve"> Максимизация чистой приведенной стоимости (NPV) и рентабельности инвестиций (ROI) при минимизации риска с учетом простоты реализации и ценности проекта.</t>
    </r>
  </si>
  <si>
    <t>Таблица 2. Расчеты</t>
  </si>
  <si>
    <t>NPV</t>
  </si>
  <si>
    <t>ROI, %</t>
  </si>
  <si>
    <t>Допустимость</t>
  </si>
  <si>
    <t>Таблица 3. Расчеты Критерии: NPV: 0,4; ROI: 0,3; риск: 0,15; простота: 0,1; ценность: 0,05</t>
  </si>
  <si>
    <t>NPV (норм)</t>
  </si>
  <si>
    <t>ROI, %(норм)</t>
  </si>
  <si>
    <t>Риск (норм)</t>
  </si>
  <si>
    <t>Взвешанная сумма</t>
  </si>
  <si>
    <t>Афанасьева Антонина Сергеевна</t>
  </si>
  <si>
    <t>ИТД-223</t>
  </si>
  <si>
    <t>Лабораторная работа 1</t>
  </si>
  <si>
    <t>Принятие решений в условиях определенности</t>
  </si>
  <si>
    <t>Вариант 1</t>
  </si>
  <si>
    <r>
      <t xml:space="preserve">Вывод: </t>
    </r>
    <r>
      <rPr>
        <sz val="11"/>
        <color theme="1"/>
        <rFont val="Calibri"/>
        <family val="2"/>
        <charset val="204"/>
        <scheme val="minor"/>
      </rPr>
      <t>оптимальный инвестиционный проект для вложения средств в стартап — 1 проект, что следует из показателей NPV и ROI, а также представлено на диаграммах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</si>
</sst>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3" formatCode="_-* #,##0.00_-;\-* #,##0.00_-;_-* &quot;-&quot;??_-;_-@_-"/>
    <numFmt numFmtId="166" formatCode="_-* #,##0_-;\-* #,##0_-;_-* &quot;-&quot;??_-;_-@_-"/>
    <numFmt numFmtId="169" formatCode="#,##0.00\ &quot;₽&quot;"/>
  </numFmts>
  <fonts count="5" x14ac:knownFonts="1">
    <font>
      <sz val="11"/>
      <color theme="1"/>
      <name val="Calibri"/>
      <family val="2"/>
      <charset val="204"/>
      <scheme val="minor"/>
    </font>
    <font>
      <sz val="11"/>
      <color theme="1"/>
      <name val="Calibri"/>
      <family val="2"/>
      <charset val="204"/>
      <scheme val="minor"/>
    </font>
    <font>
      <sz val="11"/>
      <color rgb="FFFF0000"/>
      <name val="Calibri"/>
      <family val="2"/>
      <charset val="204"/>
      <scheme val="minor"/>
    </font>
    <font>
      <b/>
      <sz val="11"/>
      <color theme="1"/>
      <name val="Calibri"/>
      <family val="2"/>
      <charset val="204"/>
      <scheme val="minor"/>
    </font>
    <font>
      <sz val="8"/>
      <name val="Calibri"/>
      <family val="2"/>
      <charset val="204"/>
      <scheme val="minor"/>
    </font>
  </fonts>
  <fills count="4">
    <fill>
      <patternFill patternType="none"/>
    </fill>
    <fill>
      <patternFill patternType="gray125"/>
    </fill>
    <fill>
      <patternFill patternType="solid">
        <fgColor theme="8" tint="0.59999389629810485"/>
        <bgColor indexed="64"/>
      </patternFill>
    </fill>
    <fill>
      <patternFill patternType="solid">
        <fgColor theme="9" tint="0.39997558519241921"/>
        <bgColor indexed="64"/>
      </patternFill>
    </fill>
  </fills>
  <borders count="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</borders>
  <cellStyleXfs count="2">
    <xf numFmtId="0" fontId="0" fillId="0" borderId="0"/>
    <xf numFmtId="43" fontId="1" fillId="0" borderId="0" applyFont="0" applyFill="0" applyBorder="0" applyAlignment="0" applyProtection="0"/>
  </cellStyleXfs>
  <cellXfs count="25">
    <xf numFmtId="0" fontId="0" fillId="0" borderId="0" xfId="0"/>
    <xf numFmtId="0" fontId="3" fillId="0" borderId="0" xfId="0" applyFont="1"/>
    <xf numFmtId="0" fontId="0" fillId="2" borderId="1" xfId="0" applyFill="1" applyBorder="1" applyAlignment="1">
      <alignment horizontal="center" vertical="center" wrapText="1"/>
    </xf>
    <xf numFmtId="0" fontId="0" fillId="0" borderId="1" xfId="0" applyBorder="1"/>
    <xf numFmtId="0" fontId="3" fillId="0" borderId="0" xfId="0" applyFont="1" applyFill="1" applyBorder="1"/>
    <xf numFmtId="0" fontId="3" fillId="0" borderId="0" xfId="0" applyFont="1" applyFill="1" applyBorder="1" applyAlignment="1">
      <alignment horizontal="left" vertical="top" wrapText="1"/>
    </xf>
    <xf numFmtId="0" fontId="0" fillId="0" borderId="0" xfId="0" applyBorder="1"/>
    <xf numFmtId="43" fontId="0" fillId="0" borderId="1" xfId="1" applyFont="1" applyBorder="1"/>
    <xf numFmtId="166" fontId="0" fillId="0" borderId="1" xfId="1" applyNumberFormat="1" applyFont="1" applyBorder="1"/>
    <xf numFmtId="0" fontId="0" fillId="2" borderId="3" xfId="0" applyFill="1" applyBorder="1" applyAlignment="1">
      <alignment horizontal="center" vertical="center" wrapText="1"/>
    </xf>
    <xf numFmtId="0" fontId="0" fillId="2" borderId="4" xfId="0" applyFill="1" applyBorder="1" applyAlignment="1">
      <alignment horizontal="center" vertical="center" wrapText="1"/>
    </xf>
    <xf numFmtId="0" fontId="0" fillId="0" borderId="5" xfId="0" applyBorder="1"/>
    <xf numFmtId="0" fontId="0" fillId="2" borderId="6" xfId="0" applyFill="1" applyBorder="1" applyAlignment="1">
      <alignment horizontal="center" vertical="center" wrapText="1"/>
    </xf>
    <xf numFmtId="0" fontId="0" fillId="2" borderId="2" xfId="0" applyFill="1" applyBorder="1" applyAlignment="1">
      <alignment horizontal="center" vertical="center" wrapText="1"/>
    </xf>
    <xf numFmtId="0" fontId="0" fillId="0" borderId="7" xfId="0" applyBorder="1"/>
    <xf numFmtId="166" fontId="0" fillId="0" borderId="3" xfId="1" applyNumberFormat="1" applyFont="1" applyBorder="1"/>
    <xf numFmtId="2" fontId="0" fillId="0" borderId="1" xfId="0" applyNumberFormat="1" applyBorder="1"/>
    <xf numFmtId="0" fontId="0" fillId="2" borderId="8" xfId="0" applyFill="1" applyBorder="1" applyAlignment="1">
      <alignment horizontal="center" vertical="center" wrapText="1"/>
    </xf>
    <xf numFmtId="169" fontId="0" fillId="0" borderId="1" xfId="1" applyNumberFormat="1" applyFont="1" applyBorder="1"/>
    <xf numFmtId="2" fontId="0" fillId="0" borderId="1" xfId="1" applyNumberFormat="1" applyFont="1" applyBorder="1"/>
    <xf numFmtId="169" fontId="2" fillId="0" borderId="1" xfId="1" applyNumberFormat="1" applyFont="1" applyBorder="1"/>
    <xf numFmtId="2" fontId="2" fillId="0" borderId="1" xfId="1" applyNumberFormat="1" applyFont="1" applyBorder="1"/>
    <xf numFmtId="2" fontId="0" fillId="3" borderId="1" xfId="0" applyNumberFormat="1" applyFill="1" applyBorder="1"/>
    <xf numFmtId="14" fontId="0" fillId="0" borderId="0" xfId="0" applyNumberFormat="1"/>
    <xf numFmtId="0" fontId="3" fillId="0" borderId="0" xfId="0" applyFont="1" applyAlignment="1">
      <alignment horizontal="left" vertical="top" wrapText="1"/>
    </xf>
  </cellXfs>
  <cellStyles count="2">
    <cellStyle name="Обычный" xfId="0" builtinId="0"/>
    <cellStyle name="Финансовый" xfId="1" builtinId="3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NPV,</a:t>
            </a:r>
            <a:r>
              <a:rPr lang="en-US" baseline="0"/>
              <a:t> </a:t>
            </a:r>
            <a:r>
              <a:rPr lang="ru-RU" baseline="0"/>
              <a:t>руб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Лист3!$A$1:$A$4</c:f>
              <c:strCache>
                <c:ptCount val="4"/>
                <c:pt idx="0">
                  <c:v>А1</c:v>
                </c:pt>
                <c:pt idx="1">
                  <c:v>А2</c:v>
                </c:pt>
                <c:pt idx="2">
                  <c:v>А4</c:v>
                </c:pt>
                <c:pt idx="3">
                  <c:v>А5</c:v>
                </c:pt>
              </c:strCache>
            </c:strRef>
          </c:cat>
          <c:val>
            <c:numRef>
              <c:f>Лист3!$B$1:$B$4</c:f>
              <c:numCache>
                <c:formatCode>_(* #,##0.00_);_(* \(#,##0.00\);_(* "-"??_);_(@_)</c:formatCode>
                <c:ptCount val="4"/>
                <c:pt idx="0">
                  <c:v>24830.95</c:v>
                </c:pt>
                <c:pt idx="1">
                  <c:v>8626.14</c:v>
                </c:pt>
                <c:pt idx="2">
                  <c:v>-44424.65</c:v>
                </c:pt>
                <c:pt idx="3">
                  <c:v>6912.22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F2D-41CD-93DD-DBE09C8EE47F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6936015"/>
        <c:axId val="56936847"/>
      </c:barChart>
      <c:catAx>
        <c:axId val="56936015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936847"/>
        <c:crosses val="autoZero"/>
        <c:auto val="1"/>
        <c:lblAlgn val="ctr"/>
        <c:lblOffset val="100"/>
        <c:noMultiLvlLbl val="0"/>
      </c:catAx>
      <c:valAx>
        <c:axId val="56936847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_(* #,##0.00_);_(* \(#,##0.00\);_(* &quot;-&quot;??_);_(@_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6936015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ROI,</a:t>
            </a:r>
            <a:r>
              <a:rPr lang="en-US" baseline="0"/>
              <a:t> %</a:t>
            </a:r>
            <a:endParaRPr lang="ru-RU"/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Лист3!$A$1:$A$4</c:f>
              <c:strCache>
                <c:ptCount val="4"/>
                <c:pt idx="0">
                  <c:v>А1</c:v>
                </c:pt>
                <c:pt idx="1">
                  <c:v>А2</c:v>
                </c:pt>
                <c:pt idx="2">
                  <c:v>А4</c:v>
                </c:pt>
                <c:pt idx="3">
                  <c:v>А5</c:v>
                </c:pt>
              </c:strCache>
            </c:strRef>
          </c:cat>
          <c:val>
            <c:numRef>
              <c:f>Лист3!$C$1:$C$4</c:f>
              <c:numCache>
                <c:formatCode>General</c:formatCode>
                <c:ptCount val="4"/>
                <c:pt idx="0">
                  <c:v>16.55</c:v>
                </c:pt>
                <c:pt idx="1">
                  <c:v>8.6300000000000008</c:v>
                </c:pt>
                <c:pt idx="2">
                  <c:v>-24.68</c:v>
                </c:pt>
                <c:pt idx="3">
                  <c:v>5.76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04FC-4779-850C-92F36CE7038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59567887"/>
        <c:axId val="59566639"/>
      </c:barChart>
      <c:catAx>
        <c:axId val="595678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566639"/>
        <c:crosses val="autoZero"/>
        <c:auto val="1"/>
        <c:lblAlgn val="ctr"/>
        <c:lblOffset val="100"/>
        <c:noMultiLvlLbl val="0"/>
      </c:catAx>
      <c:valAx>
        <c:axId val="5956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5956788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ru-RU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ru-RU"/>
              <a:t>Сумма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ru-RU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Лист3!$A$1:$A$4</c:f>
              <c:strCache>
                <c:ptCount val="4"/>
                <c:pt idx="0">
                  <c:v>А1</c:v>
                </c:pt>
                <c:pt idx="1">
                  <c:v>А2</c:v>
                </c:pt>
                <c:pt idx="2">
                  <c:v>А4</c:v>
                </c:pt>
                <c:pt idx="3">
                  <c:v>А5</c:v>
                </c:pt>
              </c:strCache>
            </c:strRef>
          </c:cat>
          <c:val>
            <c:numRef>
              <c:f>Лист3!$D$1:$D$4</c:f>
              <c:numCache>
                <c:formatCode>General</c:formatCode>
                <c:ptCount val="4"/>
                <c:pt idx="0" formatCode="0.00">
                  <c:v>4.5</c:v>
                </c:pt>
                <c:pt idx="1">
                  <c:v>4.09</c:v>
                </c:pt>
                <c:pt idx="2">
                  <c:v>1.85</c:v>
                </c:pt>
                <c:pt idx="3">
                  <c:v>3.72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109-4D55-97FB-5D2A049E07C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219"/>
        <c:overlap val="-27"/>
        <c:axId val="120489967"/>
        <c:axId val="120486639"/>
      </c:barChart>
      <c:catAx>
        <c:axId val="12048996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486639"/>
        <c:crosses val="autoZero"/>
        <c:auto val="1"/>
        <c:lblAlgn val="ctr"/>
        <c:lblOffset val="100"/>
        <c:noMultiLvlLbl val="0"/>
      </c:catAx>
      <c:valAx>
        <c:axId val="12048663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0.00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ru-RU"/>
          </a:p>
        </c:txPr>
        <c:crossAx val="120489967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ru-RU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3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chart" Target="../charts/chart3.xml"/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9525</xdr:colOff>
      <xdr:row>7</xdr:row>
      <xdr:rowOff>61912</xdr:rowOff>
    </xdr:from>
    <xdr:to>
      <xdr:col>5</xdr:col>
      <xdr:colOff>142874</xdr:colOff>
      <xdr:row>21</xdr:row>
      <xdr:rowOff>138112</xdr:rowOff>
    </xdr:to>
    <xdr:graphicFrame macro="">
      <xdr:nvGraphicFramePr>
        <xdr:cNvPr id="2" name="Диаграмма 1">
          <a:extLst>
            <a:ext uri="{FF2B5EF4-FFF2-40B4-BE49-F238E27FC236}">
              <a16:creationId xmlns:a16="http://schemas.microsoft.com/office/drawing/2014/main" id="{2D700E93-A60F-4711-B855-01687A411F58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5</xdr:col>
      <xdr:colOff>257175</xdr:colOff>
      <xdr:row>7</xdr:row>
      <xdr:rowOff>95250</xdr:rowOff>
    </xdr:from>
    <xdr:to>
      <xdr:col>10</xdr:col>
      <xdr:colOff>523875</xdr:colOff>
      <xdr:row>21</xdr:row>
      <xdr:rowOff>171450</xdr:rowOff>
    </xdr:to>
    <xdr:graphicFrame macro="">
      <xdr:nvGraphicFramePr>
        <xdr:cNvPr id="3" name="Диаграмма 2">
          <a:extLst>
            <a:ext uri="{FF2B5EF4-FFF2-40B4-BE49-F238E27FC236}">
              <a16:creationId xmlns:a16="http://schemas.microsoft.com/office/drawing/2014/main" id="{5769354A-0229-49EF-8850-509EC2A2D324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11</xdr:col>
      <xdr:colOff>38100</xdr:colOff>
      <xdr:row>7</xdr:row>
      <xdr:rowOff>114299</xdr:rowOff>
    </xdr:from>
    <xdr:to>
      <xdr:col>16</xdr:col>
      <xdr:colOff>285750</xdr:colOff>
      <xdr:row>21</xdr:row>
      <xdr:rowOff>142875</xdr:rowOff>
    </xdr:to>
    <xdr:graphicFrame macro="">
      <xdr:nvGraphicFramePr>
        <xdr:cNvPr id="5" name="Диаграмма 4">
          <a:extLst>
            <a:ext uri="{FF2B5EF4-FFF2-40B4-BE49-F238E27FC236}">
              <a16:creationId xmlns:a16="http://schemas.microsoft.com/office/drawing/2014/main" id="{3B5E7AB4-54DD-45C2-A612-E5118B968D49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Тема Office">
  <a:themeElements>
    <a:clrScheme name="Стандартная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Стандартная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Стандартная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AF898AE-9DCA-4830-AD33-57135655872A}">
  <dimension ref="A1:A6"/>
  <sheetViews>
    <sheetView workbookViewId="0">
      <selection activeCell="C11" sqref="C11"/>
    </sheetView>
  </sheetViews>
  <sheetFormatPr defaultRowHeight="15" x14ac:dyDescent="0.25"/>
  <cols>
    <col min="1" max="1" width="45.85546875" bestFit="1" customWidth="1"/>
  </cols>
  <sheetData>
    <row r="1" spans="1:1" x14ac:dyDescent="0.25">
      <c r="A1" t="s">
        <v>26</v>
      </c>
    </row>
    <row r="2" spans="1:1" x14ac:dyDescent="0.25">
      <c r="A2" t="s">
        <v>27</v>
      </c>
    </row>
    <row r="3" spans="1:1" x14ac:dyDescent="0.25">
      <c r="A3" t="s">
        <v>28</v>
      </c>
    </row>
    <row r="4" spans="1:1" x14ac:dyDescent="0.25">
      <c r="A4" t="s">
        <v>29</v>
      </c>
    </row>
    <row r="5" spans="1:1" x14ac:dyDescent="0.25">
      <c r="A5" t="s">
        <v>30</v>
      </c>
    </row>
    <row r="6" spans="1:1" x14ac:dyDescent="0.25">
      <c r="A6" s="23">
        <v>46266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F0EBFB-88C8-4B1D-BCA6-9E88F211AE3B}">
  <dimension ref="A1:M26"/>
  <sheetViews>
    <sheetView workbookViewId="0">
      <selection activeCell="L20" sqref="L20"/>
    </sheetView>
  </sheetViews>
  <sheetFormatPr defaultRowHeight="15" x14ac:dyDescent="0.25"/>
  <cols>
    <col min="1" max="1" width="11.42578125" customWidth="1"/>
    <col min="2" max="5" width="13.85546875" customWidth="1"/>
    <col min="6" max="6" width="12.42578125" bestFit="1" customWidth="1"/>
    <col min="7" max="7" width="10.28515625" customWidth="1"/>
    <col min="8" max="8" width="12.140625" customWidth="1"/>
    <col min="11" max="11" width="11" customWidth="1"/>
  </cols>
  <sheetData>
    <row r="1" spans="1:13" x14ac:dyDescent="0.25">
      <c r="A1" s="1" t="s">
        <v>0</v>
      </c>
    </row>
    <row r="2" spans="1:13" ht="30" x14ac:dyDescent="0.25">
      <c r="A2" s="2" t="s">
        <v>1</v>
      </c>
      <c r="B2" s="2" t="s">
        <v>2</v>
      </c>
      <c r="C2" s="9" t="s">
        <v>3</v>
      </c>
      <c r="D2" s="10"/>
      <c r="E2" s="17"/>
      <c r="F2" s="12"/>
      <c r="G2" s="13" t="s">
        <v>4</v>
      </c>
      <c r="H2" s="2" t="s">
        <v>5</v>
      </c>
      <c r="I2" s="2" t="s">
        <v>6</v>
      </c>
      <c r="J2" s="2" t="s">
        <v>7</v>
      </c>
      <c r="K2" s="2" t="s">
        <v>8</v>
      </c>
    </row>
    <row r="3" spans="1:13" x14ac:dyDescent="0.25">
      <c r="A3" s="3" t="s">
        <v>9</v>
      </c>
      <c r="B3" s="8">
        <v>150000</v>
      </c>
      <c r="C3" s="8">
        <v>70000</v>
      </c>
      <c r="D3" s="15">
        <v>80000</v>
      </c>
      <c r="E3" s="8">
        <v>60000</v>
      </c>
      <c r="F3" s="3"/>
      <c r="G3" s="16">
        <v>0.1</v>
      </c>
      <c r="H3" s="11">
        <v>3</v>
      </c>
      <c r="I3" s="3">
        <v>3</v>
      </c>
      <c r="J3" s="3">
        <v>4</v>
      </c>
      <c r="K3" s="3">
        <v>5</v>
      </c>
    </row>
    <row r="4" spans="1:13" x14ac:dyDescent="0.25">
      <c r="A4" s="3" t="s">
        <v>10</v>
      </c>
      <c r="B4" s="8">
        <v>100000</v>
      </c>
      <c r="C4" s="8">
        <v>40000</v>
      </c>
      <c r="D4" s="8">
        <v>35000</v>
      </c>
      <c r="E4" s="8">
        <v>55000</v>
      </c>
      <c r="F4" s="3"/>
      <c r="G4" s="14">
        <v>0.09</v>
      </c>
      <c r="H4" s="3">
        <v>3</v>
      </c>
      <c r="I4" s="3">
        <v>2</v>
      </c>
      <c r="J4" s="3">
        <v>5</v>
      </c>
      <c r="K4" s="3">
        <v>3</v>
      </c>
    </row>
    <row r="5" spans="1:13" x14ac:dyDescent="0.25">
      <c r="A5" s="3" t="s">
        <v>11</v>
      </c>
      <c r="B5" s="8">
        <v>220000</v>
      </c>
      <c r="C5" s="8">
        <v>90000</v>
      </c>
      <c r="D5" s="8">
        <v>100000</v>
      </c>
      <c r="E5" s="8">
        <v>80000</v>
      </c>
      <c r="F5" s="3"/>
      <c r="G5" s="3">
        <v>0.08</v>
      </c>
      <c r="H5" s="3">
        <v>3</v>
      </c>
      <c r="I5" s="3">
        <v>4</v>
      </c>
      <c r="J5" s="3">
        <v>2</v>
      </c>
      <c r="K5" s="3">
        <v>4</v>
      </c>
    </row>
    <row r="6" spans="1:13" x14ac:dyDescent="0.25">
      <c r="A6" s="3" t="s">
        <v>12</v>
      </c>
      <c r="B6" s="8">
        <v>180000</v>
      </c>
      <c r="C6" s="8">
        <v>30000</v>
      </c>
      <c r="D6" s="8">
        <v>40000</v>
      </c>
      <c r="E6" s="8">
        <v>50000</v>
      </c>
      <c r="F6" s="8">
        <v>60000</v>
      </c>
      <c r="G6" s="3">
        <v>0.11</v>
      </c>
      <c r="H6" s="3">
        <v>4</v>
      </c>
      <c r="I6" s="3">
        <v>1</v>
      </c>
      <c r="J6" s="3">
        <v>3</v>
      </c>
      <c r="K6" s="3">
        <v>2</v>
      </c>
    </row>
    <row r="7" spans="1:13" x14ac:dyDescent="0.25">
      <c r="A7" s="3" t="s">
        <v>13</v>
      </c>
      <c r="B7" s="8">
        <v>120000</v>
      </c>
      <c r="C7" s="8">
        <v>50000</v>
      </c>
      <c r="D7" s="8">
        <v>55000</v>
      </c>
      <c r="E7" s="8">
        <v>45000</v>
      </c>
      <c r="F7" s="3"/>
      <c r="G7" s="3">
        <v>0.09</v>
      </c>
      <c r="H7" s="3">
        <v>3</v>
      </c>
      <c r="I7" s="3">
        <v>3</v>
      </c>
      <c r="J7" s="3">
        <v>4</v>
      </c>
      <c r="K7" s="3">
        <v>4</v>
      </c>
    </row>
    <row r="8" spans="1:13" x14ac:dyDescent="0.25">
      <c r="A8" s="4" t="s">
        <v>15</v>
      </c>
      <c r="B8" s="6"/>
      <c r="C8" s="6"/>
      <c r="D8" s="6"/>
      <c r="E8" s="6"/>
      <c r="F8" s="6"/>
      <c r="G8" s="6"/>
      <c r="H8" s="6"/>
      <c r="I8" s="6"/>
      <c r="J8" s="6"/>
      <c r="K8" s="6"/>
      <c r="L8" s="6"/>
      <c r="M8" s="6"/>
    </row>
    <row r="9" spans="1:13" ht="34.5" customHeight="1" x14ac:dyDescent="0.25">
      <c r="A9" s="5" t="s">
        <v>16</v>
      </c>
      <c r="B9" s="5"/>
      <c r="C9" s="5"/>
      <c r="D9" s="5"/>
      <c r="E9" s="5"/>
      <c r="F9" s="5"/>
      <c r="G9" s="5"/>
      <c r="H9" s="5"/>
      <c r="I9" s="5"/>
      <c r="J9" s="5"/>
      <c r="K9" s="5"/>
      <c r="L9" s="6"/>
      <c r="M9" s="6"/>
    </row>
    <row r="10" spans="1:13" ht="15" customHeight="1" x14ac:dyDescent="0.25">
      <c r="A10" s="4" t="s">
        <v>14</v>
      </c>
      <c r="B10" s="6"/>
      <c r="C10" s="6"/>
      <c r="D10" s="6"/>
      <c r="E10" s="6"/>
      <c r="F10" s="6"/>
      <c r="G10" s="6"/>
      <c r="H10" s="6"/>
      <c r="I10" s="6"/>
      <c r="J10" s="6"/>
      <c r="K10" s="6"/>
      <c r="L10" s="6"/>
      <c r="M10" s="6"/>
    </row>
    <row r="12" spans="1:13" x14ac:dyDescent="0.25">
      <c r="A12" s="1" t="s">
        <v>17</v>
      </c>
    </row>
    <row r="13" spans="1:13" ht="30" x14ac:dyDescent="0.25">
      <c r="A13" s="2" t="s">
        <v>1</v>
      </c>
      <c r="B13" s="2" t="s">
        <v>2</v>
      </c>
      <c r="C13" s="2" t="s">
        <v>18</v>
      </c>
      <c r="D13" s="2" t="s">
        <v>19</v>
      </c>
      <c r="E13" s="2" t="s">
        <v>20</v>
      </c>
    </row>
    <row r="14" spans="1:13" x14ac:dyDescent="0.25">
      <c r="A14" s="3" t="s">
        <v>9</v>
      </c>
      <c r="B14" s="8">
        <v>150000</v>
      </c>
      <c r="C14" s="18">
        <f>NPV(G3,C3:E3)-B3</f>
        <v>24830.9541697971</v>
      </c>
      <c r="D14" s="19">
        <f>(C14/B14)*100</f>
        <v>16.553969446531401</v>
      </c>
      <c r="E14" s="8" t="str">
        <f>IF(B14&lt;=200000,"да","нет")</f>
        <v>да</v>
      </c>
    </row>
    <row r="15" spans="1:13" x14ac:dyDescent="0.25">
      <c r="A15" s="3" t="s">
        <v>10</v>
      </c>
      <c r="B15" s="8">
        <v>100000</v>
      </c>
      <c r="C15" s="18">
        <f t="shared" ref="C15:C18" si="0">NPV(G4,C4:E4)-B4</f>
        <v>8626.13887411014</v>
      </c>
      <c r="D15" s="19">
        <f t="shared" ref="D15:D18" si="1">(C15/B15)*100</f>
        <v>8.6261388741101399</v>
      </c>
      <c r="E15" s="8" t="str">
        <f t="shared" ref="E15:E18" si="2">IF(B15&lt;=200000,"да","нет")</f>
        <v>да</v>
      </c>
    </row>
    <row r="16" spans="1:13" x14ac:dyDescent="0.25">
      <c r="A16" s="3" t="s">
        <v>11</v>
      </c>
      <c r="B16" s="8">
        <v>220000</v>
      </c>
      <c r="C16" s="18">
        <f t="shared" si="0"/>
        <v>12573.794645125221</v>
      </c>
      <c r="D16" s="19">
        <f t="shared" si="1"/>
        <v>5.7153612023296461</v>
      </c>
      <c r="E16" s="8" t="str">
        <f t="shared" si="2"/>
        <v>нет</v>
      </c>
    </row>
    <row r="17" spans="1:8" x14ac:dyDescent="0.25">
      <c r="A17" s="3" t="s">
        <v>12</v>
      </c>
      <c r="B17" s="8">
        <v>180000</v>
      </c>
      <c r="C17" s="20">
        <f>NPV(G6,C6:F6)-B6</f>
        <v>-44424.648129463254</v>
      </c>
      <c r="D17" s="21">
        <f t="shared" si="1"/>
        <v>-24.680360071924028</v>
      </c>
      <c r="E17" s="8" t="str">
        <f t="shared" si="2"/>
        <v>да</v>
      </c>
    </row>
    <row r="18" spans="1:8" x14ac:dyDescent="0.25">
      <c r="A18" s="3" t="s">
        <v>13</v>
      </c>
      <c r="B18" s="8">
        <v>120000</v>
      </c>
      <c r="C18" s="18">
        <f t="shared" si="0"/>
        <v>6912.2158654361992</v>
      </c>
      <c r="D18" s="19">
        <f t="shared" si="1"/>
        <v>5.7601798878634991</v>
      </c>
      <c r="E18" s="8" t="str">
        <f t="shared" si="2"/>
        <v>да</v>
      </c>
    </row>
    <row r="21" spans="1:8" x14ac:dyDescent="0.25">
      <c r="A21" s="1" t="s">
        <v>21</v>
      </c>
    </row>
    <row r="22" spans="1:8" ht="30" x14ac:dyDescent="0.25">
      <c r="A22" s="2" t="s">
        <v>1</v>
      </c>
      <c r="B22" s="2" t="s">
        <v>22</v>
      </c>
      <c r="C22" s="2" t="s">
        <v>23</v>
      </c>
      <c r="D22" s="2" t="s">
        <v>6</v>
      </c>
      <c r="E22" s="2" t="s">
        <v>24</v>
      </c>
      <c r="F22" s="2" t="s">
        <v>7</v>
      </c>
      <c r="G22" s="2" t="s">
        <v>8</v>
      </c>
      <c r="H22" s="2" t="s">
        <v>25</v>
      </c>
    </row>
    <row r="23" spans="1:8" x14ac:dyDescent="0.25">
      <c r="A23" s="3" t="s">
        <v>9</v>
      </c>
      <c r="B23" s="16">
        <f>(C14-MIN(C$14:C$18))/(MAX(C$14:C$18)-MIN(C$14:C$18))*4+1</f>
        <v>5</v>
      </c>
      <c r="C23" s="16">
        <f>(D14-MIN(D$14:D$18))/(MAX(D$14:D$18)-MIN(D$14:D$18))*4+1</f>
        <v>5</v>
      </c>
      <c r="D23" s="16">
        <v>3</v>
      </c>
      <c r="E23" s="16">
        <f>(MAX(I$3:I$7)-D23)/(MAX(I$3:I$7)-MIN(I$3:I$7))*4+1</f>
        <v>2.333333333333333</v>
      </c>
      <c r="F23" s="3">
        <v>4</v>
      </c>
      <c r="G23" s="3">
        <v>5</v>
      </c>
      <c r="H23" s="22">
        <f>B23*0.4+C23*0.3+E23*0.15+F23*0.1+G23*0.05</f>
        <v>4.5</v>
      </c>
    </row>
    <row r="24" spans="1:8" x14ac:dyDescent="0.25">
      <c r="A24" s="3" t="s">
        <v>10</v>
      </c>
      <c r="B24" s="16">
        <f t="shared" ref="B24:C26" si="3">(C15-MIN(C$14:C$18))/(MAX(C$14:C$18)-MIN(C$14:C$18))*4+1</f>
        <v>4.0640575053746932</v>
      </c>
      <c r="C24" s="16">
        <f t="shared" si="3"/>
        <v>4.2309485164420622</v>
      </c>
      <c r="D24" s="16">
        <v>2</v>
      </c>
      <c r="E24" s="16">
        <f>(MAX(I$3:I$7)-D24)/(MAX(I$3:I$7)-MIN(I$3:I$7))*4+1</f>
        <v>3.6666666666666665</v>
      </c>
      <c r="F24" s="3">
        <v>5</v>
      </c>
      <c r="G24" s="3">
        <v>3</v>
      </c>
      <c r="H24" s="16">
        <f t="shared" ref="H24:H26" si="4">B24*0.4+C24*0.3+E24*0.15+F24*0.1+G24*0.05</f>
        <v>4.0949075570824958</v>
      </c>
    </row>
    <row r="25" spans="1:8" x14ac:dyDescent="0.25">
      <c r="A25" s="3" t="s">
        <v>12</v>
      </c>
      <c r="B25" s="16">
        <f>(C17-MIN(C$14:C$18))/(MAX(C$14:C$18)-MIN(C$14:C$18))*4+1</f>
        <v>1</v>
      </c>
      <c r="C25" s="16">
        <f>(D17-MIN(D$14:D$18))/(MAX(D$14:D$18)-MIN(D$14:D$18))*4+1</f>
        <v>1</v>
      </c>
      <c r="D25" s="16">
        <v>1</v>
      </c>
      <c r="E25" s="16">
        <f>(MAX(I$3:I$7)-D25)/(MAX(I$3:I$7)-MIN(I$3:I$7))*4+1</f>
        <v>5</v>
      </c>
      <c r="F25" s="3">
        <v>3</v>
      </c>
      <c r="G25" s="3">
        <v>2</v>
      </c>
      <c r="H25" s="16">
        <f t="shared" si="4"/>
        <v>1.85</v>
      </c>
    </row>
    <row r="26" spans="1:8" x14ac:dyDescent="0.25">
      <c r="A26" s="3" t="s">
        <v>13</v>
      </c>
      <c r="B26" s="16">
        <f>(C18-MIN(C$14:C$18))/(MAX(C$14:C$18)-MIN(C$14:C$18))*4+1</f>
        <v>3.9650663507664117</v>
      </c>
      <c r="C26" s="16">
        <f>(D18-MIN(D$14:D$18))/(MAX(D$14:D$18)-MIN(D$14:D$18))*4+1</f>
        <v>3.9529317260913022</v>
      </c>
      <c r="D26" s="16">
        <v>3</v>
      </c>
      <c r="E26" s="16">
        <f t="shared" ref="E24:E26" si="5">(MAX(I$3:I$7)-D26)/(MAX(I$3:I$7)-MIN(I$3:I$7))*4+1</f>
        <v>2.333333333333333</v>
      </c>
      <c r="F26" s="3">
        <v>4</v>
      </c>
      <c r="G26" s="3">
        <v>4</v>
      </c>
      <c r="H26" s="16">
        <f t="shared" si="4"/>
        <v>3.7219060581339556</v>
      </c>
    </row>
  </sheetData>
  <mergeCells count="2">
    <mergeCell ref="A9:K9"/>
    <mergeCell ref="C2:F2"/>
  </mergeCells>
  <phoneticPr fontId="4" type="noConversion"/>
  <pageMargins left="0.7" right="0.7" top="0.75" bottom="0.75" header="0.3" footer="0.3"/>
  <pageSetup paperSize="9"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CFF6FE8-769D-4106-9CF9-93F92FC10B1B}">
  <dimension ref="A1:J26"/>
  <sheetViews>
    <sheetView tabSelected="1" workbookViewId="0">
      <selection activeCell="H28" sqref="H28"/>
    </sheetView>
  </sheetViews>
  <sheetFormatPr defaultRowHeight="15" x14ac:dyDescent="0.25"/>
  <cols>
    <col min="2" max="2" width="10.42578125" bestFit="1" customWidth="1"/>
  </cols>
  <sheetData>
    <row r="1" spans="1:4" x14ac:dyDescent="0.25">
      <c r="A1" s="3" t="s">
        <v>9</v>
      </c>
      <c r="B1" s="7">
        <v>24830.95</v>
      </c>
      <c r="C1" s="3">
        <v>16.55</v>
      </c>
      <c r="D1" s="16">
        <v>4.5</v>
      </c>
    </row>
    <row r="2" spans="1:4" x14ac:dyDescent="0.25">
      <c r="A2" s="3" t="s">
        <v>10</v>
      </c>
      <c r="B2" s="7">
        <v>8626.14</v>
      </c>
      <c r="C2" s="3">
        <v>8.6300000000000008</v>
      </c>
      <c r="D2" s="3">
        <v>4.09</v>
      </c>
    </row>
    <row r="3" spans="1:4" x14ac:dyDescent="0.25">
      <c r="A3" s="3" t="s">
        <v>12</v>
      </c>
      <c r="B3" s="7">
        <v>-44424.65</v>
      </c>
      <c r="C3" s="3">
        <v>-24.68</v>
      </c>
      <c r="D3" s="3">
        <v>1.85</v>
      </c>
    </row>
    <row r="4" spans="1:4" x14ac:dyDescent="0.25">
      <c r="A4" s="3" t="s">
        <v>13</v>
      </c>
      <c r="B4" s="7">
        <v>6912.22</v>
      </c>
      <c r="C4" s="3">
        <v>5.76</v>
      </c>
      <c r="D4" s="3">
        <v>3.72</v>
      </c>
    </row>
    <row r="26" spans="1:10" ht="34.5" customHeight="1" x14ac:dyDescent="0.25">
      <c r="A26" s="24" t="s">
        <v>31</v>
      </c>
      <c r="B26" s="24"/>
      <c r="C26" s="24"/>
      <c r="D26" s="24"/>
      <c r="E26" s="24"/>
      <c r="F26" s="24"/>
      <c r="G26" s="24"/>
      <c r="H26" s="24"/>
      <c r="I26" s="24"/>
      <c r="J26" s="24"/>
    </row>
  </sheetData>
  <mergeCells count="1">
    <mergeCell ref="A26:J26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Листы</vt:lpstr>
      </vt:variant>
      <vt:variant>
        <vt:i4>3</vt:i4>
      </vt:variant>
    </vt:vector>
  </HeadingPairs>
  <TitlesOfParts>
    <vt:vector size="3" baseType="lpstr">
      <vt:lpstr>Лист1</vt:lpstr>
      <vt:lpstr>Лист2</vt:lpstr>
      <vt:lpstr>Лист3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ITStud</dc:creator>
  <cp:lastModifiedBy>ITStud</cp:lastModifiedBy>
  <dcterms:created xsi:type="dcterms:W3CDTF">2026-09-01T12:06:44Z</dcterms:created>
  <dcterms:modified xsi:type="dcterms:W3CDTF">2026-09-01T13:39:15Z</dcterms:modified>
</cp:coreProperties>
</file>