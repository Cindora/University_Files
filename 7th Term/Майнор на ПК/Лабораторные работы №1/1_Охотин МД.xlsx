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майнорСППУР\Лабораторные работы №1\"/>
    </mc:Choice>
  </mc:AlternateContent>
  <xr:revisionPtr revIDLastSave="0" documentId="8_{BA9C7FE4-2F27-401A-94DB-AFF5A9E25385}" xr6:coauthVersionLast="47" xr6:coauthVersionMax="47" xr10:uidLastSave="{00000000-0000-0000-0000-000000000000}"/>
  <bookViews>
    <workbookView xWindow="-120" yWindow="-120" windowWidth="29040" windowHeight="15720" xr2:uid="{C0B1DA96-031F-4DAD-B247-198A5321444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15" i="1"/>
  <c r="D17" i="1"/>
  <c r="D19" i="1"/>
  <c r="D15" i="1"/>
  <c r="C18" i="1"/>
  <c r="D18" i="1" s="1"/>
  <c r="C16" i="1"/>
  <c r="D16" i="1" s="1"/>
  <c r="C17" i="1"/>
  <c r="C19" i="1"/>
  <c r="C15" i="1"/>
</calcChain>
</file>

<file path=xl/sharedStrings.xml><?xml version="1.0" encoding="utf-8"?>
<sst xmlns="http://schemas.openxmlformats.org/spreadsheetml/2006/main" count="40" uniqueCount="25">
  <si>
    <t>Таблица 1. Альтернативы</t>
  </si>
  <si>
    <t>Проект</t>
  </si>
  <si>
    <t>Инвестиции, руб</t>
  </si>
  <si>
    <t>Потоки, руб</t>
  </si>
  <si>
    <t>Ставка</t>
  </si>
  <si>
    <t>Горизонт, лет</t>
  </si>
  <si>
    <t>Риск</t>
  </si>
  <si>
    <t>Простота</t>
  </si>
  <si>
    <t>Ценность</t>
  </si>
  <si>
    <t>A1</t>
  </si>
  <si>
    <t>A2</t>
  </si>
  <si>
    <t>A3</t>
  </si>
  <si>
    <t>A4</t>
  </si>
  <si>
    <t>A5</t>
  </si>
  <si>
    <t>Охотин Михаил Дмитриевич, ИТА-123</t>
  </si>
  <si>
    <t>Лабораторная работа №1: Принятие решений в условиях определённости</t>
  </si>
  <si>
    <t>NPV</t>
  </si>
  <si>
    <t>ROI, %</t>
  </si>
  <si>
    <t>Допустимость</t>
  </si>
  <si>
    <t>Таблица 2. Расчеты</t>
  </si>
  <si>
    <t>Таблица 3. Расчеты Критерии: NPV: 0,4; ROI: 0,3; Риск: 0,1: Простота: 0,1: Ценность: 0,1</t>
  </si>
  <si>
    <t>NPV (норм)</t>
  </si>
  <si>
    <t>ROI, % (норм)</t>
  </si>
  <si>
    <t>Риск (норм)</t>
  </si>
  <si>
    <t>Взвешенная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</si>
</sst>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9" formatCode="#,##0.00\ &quot;₽&quot;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5F54"/>
        <bgColor indexed="64"/>
      </patternFill>
    </fill>
    <fill>
      <patternFill patternType="solid">
        <fgColor rgb="FFF0EBE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0" fillId="3" borderId="6" xfId="0" applyFill="1" applyBorder="1"/>
    <xf numFmtId="0" fontId="0" fillId="3" borderId="8" xfId="0" applyFill="1" applyBorder="1"/>
    <xf numFmtId="0" fontId="0" fillId="0" borderId="0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8" fontId="0" fillId="3" borderId="1" xfId="0" applyNumberFormat="1" applyFill="1" applyBorder="1" applyAlignment="1">
      <alignment horizontal="right"/>
    </xf>
    <xf numFmtId="169" fontId="0" fillId="3" borderId="6" xfId="0" applyNumberFormat="1" applyFill="1" applyBorder="1"/>
    <xf numFmtId="2" fontId="0" fillId="3" borderId="1" xfId="0" applyNumberFormat="1" applyFill="1" applyBorder="1"/>
    <xf numFmtId="2" fontId="0" fillId="3" borderId="6" xfId="0" applyNumberFormat="1" applyFill="1" applyBorder="1"/>
    <xf numFmtId="2" fontId="2" fillId="3" borderId="1" xfId="0" applyNumberFormat="1" applyFont="1" applyFill="1" applyBorder="1"/>
    <xf numFmtId="0" fontId="1" fillId="2" borderId="1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26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ED3C0"/>
      <color rgb="FFF0EBE2"/>
      <color rgb="FF015F54"/>
      <color rgb="FF028878"/>
      <color rgb="FF013E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590550</xdr:colOff>
      <xdr:row>4</xdr:row>
      <xdr:rowOff>19050</xdr:rowOff>
    </xdr:from>
    <xdr:to>
      <xdr:col>22</xdr:col>
      <xdr:colOff>434975</xdr:colOff>
      <xdr:row>14</xdr:row>
      <xdr:rowOff>187960</xdr:rowOff>
    </xdr:to>
    <xdr:pic>
      <xdr:nvPicPr>
        <xdr:cNvPr id="3" name="image7.png">
          <a:extLst>
            <a:ext uri="{FF2B5EF4-FFF2-40B4-BE49-F238E27FC236}">
              <a16:creationId xmlns:a16="http://schemas.microsoft.com/office/drawing/2014/main" id="{820C0CA5-EB08-47D6-9874-99FFA09CB59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191625" y="209550"/>
          <a:ext cx="5940425" cy="2312035"/>
        </a:xfrm>
        <a:prstGeom prst="rect">
          <a:avLst/>
        </a:prstGeom>
        <a:ln/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22</xdr:col>
      <xdr:colOff>454025</xdr:colOff>
      <xdr:row>26</xdr:row>
      <xdr:rowOff>80645</xdr:rowOff>
    </xdr:to>
    <xdr:pic>
      <xdr:nvPicPr>
        <xdr:cNvPr id="4" name="image4.png">
          <a:extLst>
            <a:ext uri="{FF2B5EF4-FFF2-40B4-BE49-F238E27FC236}">
              <a16:creationId xmlns:a16="http://schemas.microsoft.com/office/drawing/2014/main" id="{67522E66-4A82-4F2A-9CB3-59F8E24D7A1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210675" y="2667000"/>
          <a:ext cx="5940425" cy="2033270"/>
        </a:xfrm>
        <a:prstGeom prst="rect">
          <a:avLst/>
        </a:prstGeom>
        <a:ln/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22</xdr:col>
      <xdr:colOff>454025</xdr:colOff>
      <xdr:row>41</xdr:row>
      <xdr:rowOff>104140</xdr:rowOff>
    </xdr:to>
    <xdr:pic>
      <xdr:nvPicPr>
        <xdr:cNvPr id="5" name="image17.png">
          <a:extLst>
            <a:ext uri="{FF2B5EF4-FFF2-40B4-BE49-F238E27FC236}">
              <a16:creationId xmlns:a16="http://schemas.microsoft.com/office/drawing/2014/main" id="{FB388776-F57D-4DC0-8CA2-10F958CB01F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210675" y="4762500"/>
          <a:ext cx="5940425" cy="2780665"/>
        </a:xfrm>
        <a:prstGeom prst="rect">
          <a:avLst/>
        </a:prstGeom>
        <a:ln/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22</xdr:col>
      <xdr:colOff>454025</xdr:colOff>
      <xdr:row>52</xdr:row>
      <xdr:rowOff>186690</xdr:rowOff>
    </xdr:to>
    <xdr:pic>
      <xdr:nvPicPr>
        <xdr:cNvPr id="7" name="image5.png">
          <a:extLst>
            <a:ext uri="{FF2B5EF4-FFF2-40B4-BE49-F238E27FC236}">
              <a16:creationId xmlns:a16="http://schemas.microsoft.com/office/drawing/2014/main" id="{3D269E10-9C60-4C45-AC6A-E65D13EFCE11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210675" y="7620000"/>
          <a:ext cx="5940425" cy="209169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E55A-077F-4EC3-AD9E-D5199F715EA8}">
  <dimension ref="A1:K28"/>
  <sheetViews>
    <sheetView tabSelected="1" workbookViewId="0">
      <selection activeCell="H16" sqref="H16"/>
    </sheetView>
  </sheetViews>
  <sheetFormatPr defaultRowHeight="15" x14ac:dyDescent="0.25"/>
  <cols>
    <col min="2" max="2" width="17.85546875" customWidth="1"/>
    <col min="3" max="3" width="12" customWidth="1"/>
    <col min="4" max="4" width="9.5703125" bestFit="1" customWidth="1"/>
    <col min="6" max="6" width="9.7109375" customWidth="1"/>
    <col min="8" max="8" width="15.28515625" customWidth="1"/>
    <col min="10" max="10" width="10.7109375" customWidth="1"/>
    <col min="11" max="11" width="12" customWidth="1"/>
  </cols>
  <sheetData>
    <row r="1" spans="1:11" x14ac:dyDescent="0.25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3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thickBot="1" x14ac:dyDescent="0.3">
      <c r="A3" s="4">
        <v>46266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6.5" thickTop="1" thickBot="1" x14ac:dyDescent="0.3">
      <c r="A4" s="15" t="s">
        <v>0</v>
      </c>
      <c r="B4" s="16"/>
      <c r="C4" s="16"/>
      <c r="D4" s="16"/>
      <c r="E4" s="16"/>
      <c r="F4" s="16"/>
      <c r="G4" s="16"/>
      <c r="H4" s="16"/>
      <c r="I4" s="16"/>
      <c r="J4" s="16"/>
      <c r="K4" s="17"/>
    </row>
    <row r="5" spans="1:11" s="1" customFormat="1" x14ac:dyDescent="0.25">
      <c r="A5" s="18" t="s">
        <v>1</v>
      </c>
      <c r="B5" s="10" t="s">
        <v>2</v>
      </c>
      <c r="C5" s="11" t="s">
        <v>3</v>
      </c>
      <c r="D5" s="12"/>
      <c r="E5" s="12"/>
      <c r="F5" s="13"/>
      <c r="G5" s="14" t="s">
        <v>4</v>
      </c>
      <c r="H5" s="10" t="s">
        <v>5</v>
      </c>
      <c r="I5" s="14" t="s">
        <v>6</v>
      </c>
      <c r="J5" s="14" t="s">
        <v>7</v>
      </c>
      <c r="K5" s="19" t="s">
        <v>8</v>
      </c>
    </row>
    <row r="6" spans="1:11" x14ac:dyDescent="0.25">
      <c r="A6" s="20" t="s">
        <v>9</v>
      </c>
      <c r="B6" s="2">
        <v>130000</v>
      </c>
      <c r="C6" s="2">
        <v>75000</v>
      </c>
      <c r="D6" s="2">
        <v>85000</v>
      </c>
      <c r="E6" s="2">
        <v>65000</v>
      </c>
      <c r="F6" s="2"/>
      <c r="G6" s="2">
        <v>0.1</v>
      </c>
      <c r="H6" s="2">
        <v>3</v>
      </c>
      <c r="I6" s="2">
        <v>3</v>
      </c>
      <c r="J6" s="2">
        <v>4</v>
      </c>
      <c r="K6" s="6">
        <v>5</v>
      </c>
    </row>
    <row r="7" spans="1:11" x14ac:dyDescent="0.25">
      <c r="A7" s="20" t="s">
        <v>10</v>
      </c>
      <c r="B7" s="2">
        <v>95000</v>
      </c>
      <c r="C7" s="2">
        <v>45000</v>
      </c>
      <c r="D7" s="2">
        <v>40000</v>
      </c>
      <c r="E7" s="2">
        <v>55000</v>
      </c>
      <c r="F7" s="2"/>
      <c r="G7" s="2">
        <v>0.09</v>
      </c>
      <c r="H7" s="2">
        <v>3</v>
      </c>
      <c r="I7" s="2">
        <v>2</v>
      </c>
      <c r="J7" s="2">
        <v>5</v>
      </c>
      <c r="K7" s="6">
        <v>3</v>
      </c>
    </row>
    <row r="8" spans="1:11" x14ac:dyDescent="0.25">
      <c r="A8" s="20" t="s">
        <v>11</v>
      </c>
      <c r="B8" s="2">
        <v>200000</v>
      </c>
      <c r="C8" s="2">
        <v>95000</v>
      </c>
      <c r="D8" s="2">
        <v>105000</v>
      </c>
      <c r="E8" s="2">
        <v>85000</v>
      </c>
      <c r="F8" s="2"/>
      <c r="G8" s="2">
        <v>0.08</v>
      </c>
      <c r="H8" s="2">
        <v>3</v>
      </c>
      <c r="I8" s="2">
        <v>4</v>
      </c>
      <c r="J8" s="2">
        <v>2</v>
      </c>
      <c r="K8" s="6">
        <v>4</v>
      </c>
    </row>
    <row r="9" spans="1:11" x14ac:dyDescent="0.25">
      <c r="A9" s="20" t="s">
        <v>12</v>
      </c>
      <c r="B9" s="2">
        <v>165000</v>
      </c>
      <c r="C9" s="2">
        <v>30000</v>
      </c>
      <c r="D9" s="2">
        <v>40000</v>
      </c>
      <c r="E9" s="2">
        <v>50000</v>
      </c>
      <c r="F9" s="2">
        <v>60000</v>
      </c>
      <c r="G9" s="2">
        <v>0.11</v>
      </c>
      <c r="H9" s="2">
        <v>4</v>
      </c>
      <c r="I9" s="2">
        <v>1</v>
      </c>
      <c r="J9" s="2">
        <v>3</v>
      </c>
      <c r="K9" s="6">
        <v>2</v>
      </c>
    </row>
    <row r="10" spans="1:11" ht="15.75" thickBot="1" x14ac:dyDescent="0.3">
      <c r="A10" s="21" t="s">
        <v>13</v>
      </c>
      <c r="B10" s="7">
        <v>115000</v>
      </c>
      <c r="C10" s="7">
        <v>55000</v>
      </c>
      <c r="D10" s="7">
        <v>60000</v>
      </c>
      <c r="E10" s="7">
        <v>50000</v>
      </c>
      <c r="F10" s="7"/>
      <c r="G10" s="7">
        <v>0.09</v>
      </c>
      <c r="H10" s="7">
        <v>3</v>
      </c>
      <c r="I10" s="7">
        <v>3</v>
      </c>
      <c r="J10" s="7">
        <v>4</v>
      </c>
      <c r="K10" s="8">
        <v>4</v>
      </c>
    </row>
    <row r="11" spans="1:11" ht="15.75" thickTop="1" x14ac:dyDescent="0.25"/>
    <row r="12" spans="1:11" ht="15.75" thickBot="1" x14ac:dyDescent="0.3"/>
    <row r="13" spans="1:11" ht="16.5" thickTop="1" thickBot="1" x14ac:dyDescent="0.3">
      <c r="A13" s="15" t="s">
        <v>19</v>
      </c>
      <c r="B13" s="16"/>
      <c r="C13" s="16"/>
      <c r="D13" s="16"/>
      <c r="E13" s="16"/>
      <c r="F13" s="17"/>
    </row>
    <row r="14" spans="1:11" ht="30" customHeight="1" thickTop="1" x14ac:dyDescent="0.25">
      <c r="A14" s="26" t="s">
        <v>1</v>
      </c>
      <c r="B14" s="27" t="s">
        <v>2</v>
      </c>
      <c r="C14" s="27" t="s">
        <v>16</v>
      </c>
      <c r="D14" s="27" t="s">
        <v>17</v>
      </c>
      <c r="E14" s="28" t="s">
        <v>18</v>
      </c>
      <c r="F14" s="29"/>
    </row>
    <row r="15" spans="1:11" x14ac:dyDescent="0.25">
      <c r="A15" s="20" t="s">
        <v>9</v>
      </c>
      <c r="B15" s="2">
        <v>130000</v>
      </c>
      <c r="C15" s="30">
        <f>NPV(G6,C6:E6)-B6</f>
        <v>57265.214124718215</v>
      </c>
      <c r="D15" s="32">
        <f>(C15/B15)*100</f>
        <v>44.050164711321706</v>
      </c>
      <c r="E15" s="22" t="str">
        <f>IF(B15&lt;=190000,"Да","Нет")</f>
        <v>Да</v>
      </c>
      <c r="F15" s="23"/>
    </row>
    <row r="16" spans="1:11" x14ac:dyDescent="0.25">
      <c r="A16" s="20" t="s">
        <v>10</v>
      </c>
      <c r="B16" s="2">
        <v>95000</v>
      </c>
      <c r="C16" s="30">
        <f t="shared" ref="C16:C19" si="0">NPV(G7,C7:E7)-B7</f>
        <v>22421.69480374569</v>
      </c>
      <c r="D16" s="32">
        <f t="shared" ref="D16:D19" si="1">(C16/B16)*100</f>
        <v>23.601784003942829</v>
      </c>
      <c r="E16" s="22" t="str">
        <f t="shared" ref="E16:E19" si="2">IF(B16&lt;=190000,"Да","Нет")</f>
        <v>Да</v>
      </c>
      <c r="F16" s="23"/>
    </row>
    <row r="17" spans="1:8" x14ac:dyDescent="0.25">
      <c r="A17" s="20" t="s">
        <v>11</v>
      </c>
      <c r="B17" s="2">
        <v>200000</v>
      </c>
      <c r="C17" s="30">
        <f t="shared" si="0"/>
        <v>45459.279581364564</v>
      </c>
      <c r="D17" s="32">
        <f t="shared" si="1"/>
        <v>22.729639790682281</v>
      </c>
      <c r="E17" s="22" t="str">
        <f t="shared" si="2"/>
        <v>Нет</v>
      </c>
      <c r="F17" s="23"/>
    </row>
    <row r="18" spans="1:8" x14ac:dyDescent="0.25">
      <c r="A18" s="20" t="s">
        <v>12</v>
      </c>
      <c r="B18" s="2">
        <v>165000</v>
      </c>
      <c r="C18" s="30">
        <f>NPV(G9,C9:E9)-B9</f>
        <v>-68948.506578163287</v>
      </c>
      <c r="D18" s="34">
        <f t="shared" si="1"/>
        <v>-41.786973683735326</v>
      </c>
      <c r="E18" s="22" t="str">
        <f t="shared" si="2"/>
        <v>Да</v>
      </c>
      <c r="F18" s="23"/>
    </row>
    <row r="19" spans="1:8" ht="15.75" thickBot="1" x14ac:dyDescent="0.3">
      <c r="A19" s="21" t="s">
        <v>13</v>
      </c>
      <c r="B19" s="7">
        <v>115000</v>
      </c>
      <c r="C19" s="31">
        <f t="shared" si="0"/>
        <v>24568.689195377083</v>
      </c>
      <c r="D19" s="33">
        <f t="shared" si="1"/>
        <v>21.364077561197465</v>
      </c>
      <c r="E19" s="24" t="str">
        <f t="shared" si="2"/>
        <v>Да</v>
      </c>
      <c r="F19" s="25"/>
    </row>
    <row r="20" spans="1:8" ht="15.75" thickTop="1" x14ac:dyDescent="0.25">
      <c r="G20" s="9"/>
      <c r="H20" s="9"/>
    </row>
    <row r="21" spans="1:8" ht="15.75" thickBot="1" x14ac:dyDescent="0.3"/>
    <row r="22" spans="1:8" ht="16.5" thickTop="1" thickBot="1" x14ac:dyDescent="0.3">
      <c r="A22" s="36" t="s">
        <v>20</v>
      </c>
      <c r="B22" s="37"/>
      <c r="C22" s="37"/>
      <c r="D22" s="37"/>
      <c r="E22" s="37"/>
      <c r="F22" s="37"/>
      <c r="G22" s="37"/>
      <c r="H22" s="38"/>
    </row>
    <row r="23" spans="1:8" ht="30" x14ac:dyDescent="0.25">
      <c r="A23" s="18" t="s">
        <v>1</v>
      </c>
      <c r="B23" s="10" t="s">
        <v>21</v>
      </c>
      <c r="C23" s="10" t="s">
        <v>22</v>
      </c>
      <c r="D23" s="14" t="s">
        <v>6</v>
      </c>
      <c r="E23" s="10" t="s">
        <v>23</v>
      </c>
      <c r="F23" s="14" t="s">
        <v>7</v>
      </c>
      <c r="G23" s="14" t="s">
        <v>8</v>
      </c>
      <c r="H23" s="35" t="s">
        <v>24</v>
      </c>
    </row>
    <row r="24" spans="1:8" x14ac:dyDescent="0.25">
      <c r="A24" s="20" t="s">
        <v>9</v>
      </c>
      <c r="B24" s="2">
        <v>130000</v>
      </c>
      <c r="C24" s="2"/>
      <c r="D24" s="32">
        <v>3</v>
      </c>
      <c r="E24" s="2"/>
      <c r="F24" s="2">
        <v>4</v>
      </c>
      <c r="G24" s="2">
        <v>5</v>
      </c>
      <c r="H24" s="6"/>
    </row>
    <row r="25" spans="1:8" x14ac:dyDescent="0.25">
      <c r="A25" s="20" t="s">
        <v>10</v>
      </c>
      <c r="B25" s="2">
        <v>95000</v>
      </c>
      <c r="C25" s="2"/>
      <c r="D25" s="32">
        <v>2</v>
      </c>
      <c r="E25" s="2"/>
      <c r="F25" s="2">
        <v>5</v>
      </c>
      <c r="G25" s="2">
        <v>3</v>
      </c>
      <c r="H25" s="6"/>
    </row>
    <row r="26" spans="1:8" x14ac:dyDescent="0.25">
      <c r="A26" s="20" t="s">
        <v>11</v>
      </c>
      <c r="B26" s="2">
        <v>200000</v>
      </c>
      <c r="C26" s="2"/>
      <c r="D26" s="32">
        <v>4</v>
      </c>
      <c r="E26" s="2"/>
      <c r="F26" s="2">
        <v>2</v>
      </c>
      <c r="G26" s="2">
        <v>4</v>
      </c>
      <c r="H26" s="6"/>
    </row>
    <row r="27" spans="1:8" ht="15.75" thickBot="1" x14ac:dyDescent="0.3">
      <c r="A27" s="21" t="s">
        <v>13</v>
      </c>
      <c r="B27" s="7">
        <v>115000</v>
      </c>
      <c r="C27" s="7"/>
      <c r="D27" s="33">
        <v>3</v>
      </c>
      <c r="E27" s="7"/>
      <c r="F27" s="7">
        <v>4</v>
      </c>
      <c r="G27" s="7">
        <v>4</v>
      </c>
      <c r="H27" s="8"/>
    </row>
    <row r="28" spans="1:8" ht="15.75" thickTop="1" x14ac:dyDescent="0.25"/>
  </sheetData>
  <mergeCells count="13">
    <mergeCell ref="E19:F19"/>
    <mergeCell ref="A13:F13"/>
    <mergeCell ref="A22:H22"/>
    <mergeCell ref="E14:F14"/>
    <mergeCell ref="E15:F15"/>
    <mergeCell ref="E16:F16"/>
    <mergeCell ref="E17:F17"/>
    <mergeCell ref="E18:F18"/>
    <mergeCell ref="A4:K4"/>
    <mergeCell ref="C5:F5"/>
    <mergeCell ref="A1:K1"/>
    <mergeCell ref="A2:K2"/>
    <mergeCell ref="A3:K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ITStud</dc:creator>
  <cp:lastModifiedBy>ITStud</cp:lastModifiedBy>
  <dcterms:created xsi:type="dcterms:W3CDTF">2026-09-01T11:50:37Z</dcterms:created>
  <dcterms:modified xsi:type="dcterms:W3CDTF">2026-09-01T14:55:38Z</dcterms:modified>
</cp:coreProperties>
</file>