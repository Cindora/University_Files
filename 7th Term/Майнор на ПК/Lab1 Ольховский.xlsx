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udents\Ольховский\майнорСППУР\"/>
    </mc:Choice>
  </mc:AlternateContent>
  <xr:revisionPtr revIDLastSave="0" documentId="13_ncr:1_{B6FABF26-712C-4140-A76D-908BB4A5DCB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Лист1" sheetId="1" r:id="rId1"/>
    <sheet name="Лист2" sheetId="2" r:id="rId2"/>
    <sheet name="Лист3" sheetId="3" r:id="rId3"/>
    <sheet name="Лист4" sheetId="5" r:id="rId4"/>
    <sheet name="Лист5" sheetId="6" r:id="rId5"/>
    <sheet name="Лист6" sheetId="7" r:id="rId6"/>
  </sheets>
  <definedNames>
    <definedName name="Количество_экскурсий">Лист5!$G$28:$G$33</definedName>
    <definedName name="Оформление_визы__дней">Лист5!$F$28:$F$33</definedName>
    <definedName name="Цена_билета__руб">Лист5!$D$28:$D$33</definedName>
    <definedName name="Цена_жилья__руб">Лист5!$E$28:$E$33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9" i="6" l="1"/>
  <c r="G40" i="6"/>
  <c r="G41" i="6"/>
  <c r="G42" i="6"/>
  <c r="G43" i="6"/>
  <c r="G38" i="6"/>
  <c r="E13" i="6"/>
  <c r="F39" i="6"/>
  <c r="F40" i="6"/>
  <c r="F41" i="6"/>
  <c r="F42" i="6"/>
  <c r="F43" i="6"/>
  <c r="F38" i="6"/>
  <c r="E39" i="6"/>
  <c r="E40" i="6"/>
  <c r="E41" i="6"/>
  <c r="E42" i="6"/>
  <c r="E43" i="6"/>
  <c r="E38" i="6"/>
  <c r="D39" i="6"/>
  <c r="J39" i="6" s="1"/>
  <c r="D40" i="6"/>
  <c r="J40" i="6" s="1"/>
  <c r="D41" i="6"/>
  <c r="J41" i="6" s="1"/>
  <c r="D42" i="6"/>
  <c r="J42" i="6" s="1"/>
  <c r="D43" i="6"/>
  <c r="J43" i="6" s="1"/>
  <c r="D38" i="6"/>
  <c r="J38" i="6" s="1"/>
  <c r="E29" i="5"/>
  <c r="B29" i="5"/>
  <c r="E28" i="5"/>
  <c r="E27" i="5"/>
  <c r="E26" i="5"/>
  <c r="E19" i="5"/>
  <c r="C19" i="5"/>
  <c r="D19" i="5" s="1"/>
  <c r="E18" i="5"/>
  <c r="C18" i="5"/>
  <c r="B28" i="5" s="1"/>
  <c r="E17" i="5"/>
  <c r="C17" i="5"/>
  <c r="D17" i="5" s="1"/>
  <c r="E16" i="5"/>
  <c r="C16" i="5"/>
  <c r="D16" i="5" s="1"/>
  <c r="E15" i="5"/>
  <c r="C15" i="5"/>
  <c r="B26" i="5" s="1"/>
  <c r="H27" i="2"/>
  <c r="H28" i="2"/>
  <c r="H29" i="2"/>
  <c r="H26" i="2"/>
  <c r="E27" i="2"/>
  <c r="E28" i="2"/>
  <c r="E29" i="2"/>
  <c r="E26" i="2"/>
  <c r="C29" i="2"/>
  <c r="C28" i="2"/>
  <c r="C27" i="2"/>
  <c r="C26" i="2"/>
  <c r="B29" i="2"/>
  <c r="B28" i="2"/>
  <c r="B27" i="2"/>
  <c r="B26" i="2"/>
  <c r="C18" i="2"/>
  <c r="D18" i="2" s="1"/>
  <c r="E16" i="2"/>
  <c r="E17" i="2"/>
  <c r="E18" i="2"/>
  <c r="E19" i="2"/>
  <c r="E15" i="2"/>
  <c r="C16" i="2"/>
  <c r="D16" i="2" s="1"/>
  <c r="C17" i="2"/>
  <c r="D17" i="2" s="1"/>
  <c r="C19" i="2"/>
  <c r="D19" i="2" s="1"/>
  <c r="C15" i="2"/>
  <c r="D15" i="2" s="1"/>
  <c r="B27" i="5" l="1"/>
  <c r="D15" i="5"/>
  <c r="D18" i="5"/>
  <c r="C28" i="5" s="1"/>
  <c r="H28" i="5" s="1"/>
  <c r="C26" i="5" l="1"/>
  <c r="H26" i="5" s="1"/>
  <c r="C27" i="5"/>
  <c r="H27" i="5" s="1"/>
  <c r="C29" i="5"/>
  <c r="H29" i="5" s="1"/>
</calcChain>
</file>

<file path=xl/sharedStrings.xml><?xml version="1.0" encoding="utf-8"?>
<sst xmlns="http://schemas.openxmlformats.org/spreadsheetml/2006/main" count="196" uniqueCount="81">
  <si>
    <t>Ольховский</t>
  </si>
  <si>
    <t>ИТА-123</t>
  </si>
  <si>
    <t>ЛР1</t>
  </si>
  <si>
    <t>3 вариант</t>
  </si>
  <si>
    <t>Проект</t>
  </si>
  <si>
    <t>Инвестиции, руб</t>
  </si>
  <si>
    <t>Потоки, руб</t>
  </si>
  <si>
    <t>Ставка</t>
  </si>
  <si>
    <t>Горизонт, лет</t>
  </si>
  <si>
    <t>Риск</t>
  </si>
  <si>
    <t>Простота</t>
  </si>
  <si>
    <t>А1</t>
  </si>
  <si>
    <t>А2</t>
  </si>
  <si>
    <t>А3</t>
  </si>
  <si>
    <t>А4</t>
  </si>
  <si>
    <t>А5</t>
  </si>
  <si>
    <t>Масштабируемость</t>
  </si>
  <si>
    <t>NPV = 6,912.22</t>
  </si>
  <si>
    <t>NPV = -44,424.65</t>
  </si>
  <si>
    <t>недопустима, NPV = 30,685.19</t>
  </si>
  <si>
    <t>NPV = 8,626.14</t>
  </si>
  <si>
    <t>NPV = 30,685.19</t>
  </si>
  <si>
    <r>
      <t>Ограничение</t>
    </r>
    <r>
      <rPr>
        <sz val="12"/>
        <color theme="1"/>
        <rFont val="Times New Roman"/>
        <family val="1"/>
        <charset val="204"/>
      </rPr>
      <t>: Инвестиции ≤ 190,000 руб.</t>
    </r>
  </si>
  <si>
    <r>
      <t>Критерии и веса</t>
    </r>
    <r>
      <rPr>
        <sz val="12"/>
        <color theme="1"/>
        <rFont val="Times New Roman"/>
        <family val="1"/>
        <charset val="204"/>
      </rPr>
      <t>: NPV (0.45), ROI (0.25), Риск (0.15), Простота (0.1), Масштабируемость (0.05).</t>
    </r>
  </si>
  <si>
    <t>Расчёты</t>
  </si>
  <si>
    <t>ROI, %</t>
  </si>
  <si>
    <t>Допустимость</t>
  </si>
  <si>
    <t>Расчёты Критерии</t>
  </si>
  <si>
    <t>NPV(норм)</t>
  </si>
  <si>
    <t>ROI, %(норм)</t>
  </si>
  <si>
    <t>Риск (норм)</t>
  </si>
  <si>
    <t>Взвешенная сумма</t>
  </si>
  <si>
    <t>Диаграммы</t>
  </si>
  <si>
    <t>NVP, руб</t>
  </si>
  <si>
    <t>Вывод: Лучшая альтернатива - 1, что следует из значений NVP, ROI и взвешенной суммы, также отображённых на графиках</t>
  </si>
  <si>
    <t>Проблема:</t>
  </si>
  <si>
    <t>Цель:</t>
  </si>
  <si>
    <t>Ограничения:</t>
  </si>
  <si>
    <t>выбрать направление туристической поездки, соответствующее потребностям и возможностям.</t>
  </si>
  <si>
    <t>максимизация комфорта и безопасности при минимизации затрат и требований к документам</t>
  </si>
  <si>
    <t>Критерий</t>
  </si>
  <si>
    <t>Цена билета</t>
  </si>
  <si>
    <t>Безопасность</t>
  </si>
  <si>
    <t>Субъективная оценка 1-5</t>
  </si>
  <si>
    <t>Цена жилья (сутки)</t>
  </si>
  <si>
    <t>Количество экскурсий</t>
  </si>
  <si>
    <t>Комфорт</t>
  </si>
  <si>
    <t>Единица измерения</t>
  </si>
  <si>
    <t>Тип</t>
  </si>
  <si>
    <t>Вес</t>
  </si>
  <si>
    <t>рубли</t>
  </si>
  <si>
    <t>штук</t>
  </si>
  <si>
    <t>мин</t>
  </si>
  <si>
    <t>макс</t>
  </si>
  <si>
    <t>Сумма</t>
  </si>
  <si>
    <t>Количество дней на оформление</t>
  </si>
  <si>
    <t>Цена билета туда-обратно &lt;= 60 000 руб, оформление визы не более 10 дней</t>
  </si>
  <si>
    <t>№</t>
  </si>
  <si>
    <t>Страна</t>
  </si>
  <si>
    <t>Цена билета (руб.)</t>
  </si>
  <si>
    <t>Цена жилья (руб.)</t>
  </si>
  <si>
    <t>Оформление визы (дней)</t>
  </si>
  <si>
    <t>Безопасность (1-5)</t>
  </si>
  <si>
    <t>Оформление визы</t>
  </si>
  <si>
    <t>Комфорт (1-5)</t>
  </si>
  <si>
    <t>Турция</t>
  </si>
  <si>
    <t>Египет</t>
  </si>
  <si>
    <t>ОАЭ</t>
  </si>
  <si>
    <t>Таиланд</t>
  </si>
  <si>
    <t>Армения</t>
  </si>
  <si>
    <t>Грузия</t>
  </si>
  <si>
    <t>Сербия</t>
  </si>
  <si>
    <t>Нет</t>
  </si>
  <si>
    <t>Да</t>
  </si>
  <si>
    <t>Норм (мин)</t>
  </si>
  <si>
    <t>Норм (макс)</t>
  </si>
  <si>
    <t>Веса</t>
  </si>
  <si>
    <t>Вывод:</t>
  </si>
  <si>
    <t>Лучшей альтернативой является Грузия: у неё максимальная взвешенная сумма, и она сочетает высокие показатели по большинству критериев.</t>
  </si>
  <si>
    <t>Однако также стоит обратить внимание на Армению и Турцию, так как они получили достаточно высокую оценку.</t>
  </si>
  <si>
    <t>Значительно уступают и нежелательны для выбора путешественника страны Сербия, Египет и ОАЭ.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</si>
</sst>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2" fontId="0" fillId="0" borderId="23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3" fillId="0" borderId="0" xfId="0" applyFont="1" applyAlignment="1">
      <alignment horizontal="left" vertical="center" indent="2"/>
    </xf>
    <xf numFmtId="0" fontId="0" fillId="3" borderId="0" xfId="0" applyFill="1"/>
    <xf numFmtId="0" fontId="1" fillId="2" borderId="29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0" borderId="0" xfId="0" applyFont="1"/>
    <xf numFmtId="8" fontId="0" fillId="0" borderId="32" xfId="0" applyNumberFormat="1" applyBorder="1"/>
    <xf numFmtId="8" fontId="0" fillId="0" borderId="16" xfId="0" applyNumberFormat="1" applyBorder="1"/>
    <xf numFmtId="8" fontId="0" fillId="0" borderId="17" xfId="0" applyNumberFormat="1" applyBorder="1"/>
    <xf numFmtId="0" fontId="0" fillId="0" borderId="33" xfId="0" applyBorder="1"/>
    <xf numFmtId="0" fontId="0" fillId="0" borderId="32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2" fontId="0" fillId="0" borderId="27" xfId="0" applyNumberFormat="1" applyBorder="1"/>
    <xf numFmtId="0" fontId="0" fillId="0" borderId="32" xfId="0" applyBorder="1"/>
    <xf numFmtId="2" fontId="0" fillId="4" borderId="33" xfId="0" applyNumberFormat="1" applyFill="1" applyBorder="1"/>
    <xf numFmtId="2" fontId="0" fillId="0" borderId="28" xfId="0" applyNumberFormat="1" applyBorder="1"/>
    <xf numFmtId="2" fontId="0" fillId="0" borderId="3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34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4" fillId="0" borderId="19" xfId="0" applyNumberFormat="1" applyFont="1" applyBorder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5" borderId="3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5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42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6" borderId="35" xfId="0" applyFill="1" applyBorder="1" applyAlignment="1">
      <alignment horizontal="center"/>
    </xf>
    <xf numFmtId="2" fontId="0" fillId="6" borderId="18" xfId="0" applyNumberForma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19" xfId="0" applyFont="1" applyBorder="1" applyAlignment="1">
      <alignment horizontal="center"/>
    </xf>
    <xf numFmtId="0" fontId="5" fillId="7" borderId="37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5" fillId="7" borderId="45" xfId="0" applyFont="1" applyFill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Лист3!$C$4</c:f>
              <c:strCache>
                <c:ptCount val="1"/>
                <c:pt idx="0">
                  <c:v>NVP,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Лист3!$C$5:$C$8</c:f>
              <c:numCache>
                <c:formatCode>"₽"#,##0.00_);[Red]\("₽"#,##0.00\)</c:formatCode>
                <c:ptCount val="4"/>
                <c:pt idx="0">
                  <c:v>44830.9541697971</c:v>
                </c:pt>
                <c:pt idx="1">
                  <c:v>13626.13887411014</c:v>
                </c:pt>
                <c:pt idx="2">
                  <c:v>-34424.648129463254</c:v>
                </c:pt>
                <c:pt idx="3">
                  <c:v>11912.215865436199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D85-82B2-484A5231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276239"/>
        <c:axId val="1248278319"/>
      </c:barChart>
      <c:catAx>
        <c:axId val="124827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8278319"/>
        <c:crosses val="autoZero"/>
        <c:auto val="1"/>
        <c:lblAlgn val="ctr"/>
        <c:lblOffset val="100"/>
        <c:noMultiLvlLbl val="0"/>
      </c:catAx>
      <c:valAx>
        <c:axId val="12482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827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Лист3!$D$4</c:f>
              <c:strCache>
                <c:ptCount val="1"/>
                <c:pt idx="0">
                  <c:v>ROI,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Лист3!$D$5:$D$8</c:f>
              <c:numCache>
                <c:formatCode>0.00</c:formatCode>
                <c:ptCount val="4"/>
                <c:pt idx="0">
                  <c:v>34.485349361382383</c:v>
                </c:pt>
                <c:pt idx="1">
                  <c:v>14.343304078010673</c:v>
                </c:pt>
                <c:pt idx="2">
                  <c:v>-20.249793017331324</c:v>
                </c:pt>
                <c:pt idx="3">
                  <c:v>10.358448578640173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A-484D-AA6E-29AC07467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958415"/>
        <c:axId val="945957167"/>
      </c:barChart>
      <c:catAx>
        <c:axId val="9459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57167"/>
        <c:crosses val="autoZero"/>
        <c:auto val="1"/>
        <c:lblAlgn val="ctr"/>
        <c:lblOffset val="100"/>
        <c:noMultiLvlLbl val="0"/>
      </c:catAx>
      <c:valAx>
        <c:axId val="9459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5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Лист3!$E$4</c:f>
              <c:strCache>
                <c:ptCount val="1"/>
                <c:pt idx="0">
                  <c:v>Взвешенная сумма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Лист3!$E$5:$E$8</c:f>
              <c:numCache>
                <c:formatCode>0.00</c:formatCode>
                <c:ptCount val="4"/>
                <c:pt idx="0">
                  <c:v>4.5</c:v>
                </c:pt>
                <c:pt idx="1">
                  <c:v>3.6233060960681391</c:v>
                </c:pt>
                <c:pt idx="2">
                  <c:v>1.85</c:v>
                </c:pt>
                <c:pt idx="3">
                  <c:v>3.2615781225973075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5-4412-A7AF-70073C3E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217183"/>
        <c:axId val="1246217599"/>
      </c:barChart>
      <c:catAx>
        <c:axId val="124621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6217599"/>
        <c:crosses val="autoZero"/>
        <c:auto val="1"/>
        <c:lblAlgn val="ctr"/>
        <c:lblOffset val="100"/>
        <c:noMultiLvlLbl val="0"/>
      </c:catAx>
      <c:valAx>
        <c:axId val="124621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621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Лист5!$D$37</c:f>
              <c:strCache>
                <c:ptCount val="1"/>
                <c:pt idx="0">
                  <c:v>Цена билета (руб.)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Лист5!$C$38:$C$43</c:f>
              <c:strCache>
                <c:ptCount val="6"/>
                <c:pt idx="0">
                  <c:v>Турция</c:v>
                </c:pt>
                <c:pt idx="1">
                  <c:v>Египет</c:v>
                </c:pt>
                <c:pt idx="2">
                  <c:v>ОАЭ</c:v>
                </c:pt>
                <c:pt idx="3">
                  <c:v>Армения</c:v>
                </c:pt>
                <c:pt idx="4">
                  <c:v>Грузия</c:v>
                </c:pt>
                <c:pt idx="5">
                  <c:v>Сербия</c:v>
                </c:pt>
              </c:strCache>
            </c:strRef>
          </c:cat>
          <c:val>
            <c:numRef>
              <c:f>Лист5!$D$38:$D$43</c:f>
              <c:numCache>
                <c:formatCode>0</c:formatCode>
                <c:ptCount val="6"/>
                <c:pt idx="0">
                  <c:v>2.4545454545454546</c:v>
                </c:pt>
                <c:pt idx="1">
                  <c:v>1.7272727272727273</c:v>
                </c:pt>
                <c:pt idx="2">
                  <c:v>1</c:v>
                </c:pt>
                <c:pt idx="3">
                  <c:v>3.1818181818181817</c:v>
                </c:pt>
                <c:pt idx="4">
                  <c:v>2.8181818181818183</c:v>
                </c:pt>
                <c:pt idx="5">
                  <c:v>2.0909090909090908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4-491A-99D8-143590D36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313872"/>
        <c:axId val="1192314288"/>
      </c:barChart>
      <c:catAx>
        <c:axId val="11923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14288"/>
        <c:crosses val="autoZero"/>
        <c:auto val="1"/>
        <c:lblAlgn val="ctr"/>
        <c:lblOffset val="100"/>
        <c:noMultiLvlLbl val="0"/>
      </c:catAx>
      <c:valAx>
        <c:axId val="11923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231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Лист5!$E$37</c:f>
              <c:strCache>
                <c:ptCount val="1"/>
                <c:pt idx="0">
                  <c:v>Цена жилья (руб.)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Лист5!$C$38:$C$43</c:f>
              <c:strCache>
                <c:ptCount val="6"/>
                <c:pt idx="0">
                  <c:v>Турция</c:v>
                </c:pt>
                <c:pt idx="1">
                  <c:v>Египет</c:v>
                </c:pt>
                <c:pt idx="2">
                  <c:v>ОАЭ</c:v>
                </c:pt>
                <c:pt idx="3">
                  <c:v>Армения</c:v>
                </c:pt>
                <c:pt idx="4">
                  <c:v>Грузия</c:v>
                </c:pt>
                <c:pt idx="5">
                  <c:v>Сербия</c:v>
                </c:pt>
              </c:strCache>
            </c:strRef>
          </c:cat>
          <c:val>
            <c:numRef>
              <c:f>Лист5!$E$38:$E$43</c:f>
              <c:numCache>
                <c:formatCode>0</c:formatCode>
                <c:ptCount val="6"/>
                <c:pt idx="0">
                  <c:v>2.6</c:v>
                </c:pt>
                <c:pt idx="1">
                  <c:v>3.1333333333333333</c:v>
                </c:pt>
                <c:pt idx="2">
                  <c:v>1</c:v>
                </c:pt>
                <c:pt idx="3">
                  <c:v>2.8666666666666667</c:v>
                </c:pt>
                <c:pt idx="4">
                  <c:v>2.9733333333333336</c:v>
                </c:pt>
                <c:pt idx="5">
                  <c:v>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4-4DEC-8FC5-8C119A350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307008"/>
        <c:axId val="1245308256"/>
      </c:barChart>
      <c:catAx>
        <c:axId val="124530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5308256"/>
        <c:crosses val="autoZero"/>
        <c:auto val="1"/>
        <c:lblAlgn val="ctr"/>
        <c:lblOffset val="100"/>
        <c:noMultiLvlLbl val="0"/>
      </c:catAx>
      <c:valAx>
        <c:axId val="12453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530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Лист5!$F$37</c:f>
              <c:strCache>
                <c:ptCount val="1"/>
                <c:pt idx="0">
                  <c:v>Оформление визы (дней)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Лист5!$C$38:$C$43</c:f>
              <c:strCache>
                <c:ptCount val="6"/>
                <c:pt idx="0">
                  <c:v>Турция</c:v>
                </c:pt>
                <c:pt idx="1">
                  <c:v>Египет</c:v>
                </c:pt>
                <c:pt idx="2">
                  <c:v>ОАЭ</c:v>
                </c:pt>
                <c:pt idx="3">
                  <c:v>Армения</c:v>
                </c:pt>
                <c:pt idx="4">
                  <c:v>Грузия</c:v>
                </c:pt>
                <c:pt idx="5">
                  <c:v>Сербия</c:v>
                </c:pt>
              </c:strCache>
            </c:strRef>
          </c:cat>
          <c:val>
            <c:numRef>
              <c:f>Лист5!$F$38:$F$43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D-4549-A5B5-BC56C2A3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088496"/>
        <c:axId val="1336087664"/>
      </c:barChart>
      <c:catAx>
        <c:axId val="13360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087664"/>
        <c:crosses val="autoZero"/>
        <c:auto val="1"/>
        <c:lblAlgn val="ctr"/>
        <c:lblOffset val="100"/>
        <c:noMultiLvlLbl val="0"/>
      </c:catAx>
      <c:valAx>
        <c:axId val="13360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608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Лист5!$G$37</c:f>
              <c:strCache>
                <c:ptCount val="1"/>
                <c:pt idx="0">
                  <c:v>Количество экскурсий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Лист5!$C$38:$C$43</c:f>
              <c:strCache>
                <c:ptCount val="6"/>
                <c:pt idx="0">
                  <c:v>Турция</c:v>
                </c:pt>
                <c:pt idx="1">
                  <c:v>Египет</c:v>
                </c:pt>
                <c:pt idx="2">
                  <c:v>ОАЭ</c:v>
                </c:pt>
                <c:pt idx="3">
                  <c:v>Армения</c:v>
                </c:pt>
                <c:pt idx="4">
                  <c:v>Грузия</c:v>
                </c:pt>
                <c:pt idx="5">
                  <c:v>Сербия</c:v>
                </c:pt>
              </c:strCache>
            </c:strRef>
          </c:cat>
          <c:val>
            <c:numRef>
              <c:f>Лист5!$G$38:$G$43</c:f>
              <c:numCache>
                <c:formatCode>0</c:formatCode>
                <c:ptCount val="6"/>
                <c:pt idx="0">
                  <c:v>5</c:v>
                </c:pt>
                <c:pt idx="1">
                  <c:v>3.2857142857142856</c:v>
                </c:pt>
                <c:pt idx="2">
                  <c:v>2.1428571428571428</c:v>
                </c:pt>
                <c:pt idx="3">
                  <c:v>1.5714285714285714</c:v>
                </c:pt>
                <c:pt idx="4">
                  <c:v>2.7142857142857144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6-4BCE-A116-8D4CE0F9E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5285552"/>
        <c:axId val="1335286800"/>
      </c:barChart>
      <c:catAx>
        <c:axId val="133528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5286800"/>
        <c:crosses val="autoZero"/>
        <c:auto val="1"/>
        <c:lblAlgn val="ctr"/>
        <c:lblOffset val="100"/>
        <c:noMultiLvlLbl val="0"/>
      </c:catAx>
      <c:valAx>
        <c:axId val="13352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528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Лист5!$H$37</c:f>
              <c:strCache>
                <c:ptCount val="1"/>
                <c:pt idx="0">
                  <c:v>Безопасность (1-5)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Лист5!$C$38:$C$43</c:f>
              <c:strCache>
                <c:ptCount val="6"/>
                <c:pt idx="0">
                  <c:v>Турция</c:v>
                </c:pt>
                <c:pt idx="1">
                  <c:v>Египет</c:v>
                </c:pt>
                <c:pt idx="2">
                  <c:v>ОАЭ</c:v>
                </c:pt>
                <c:pt idx="3">
                  <c:v>Армения</c:v>
                </c:pt>
                <c:pt idx="4">
                  <c:v>Грузия</c:v>
                </c:pt>
                <c:pt idx="5">
                  <c:v>Сербия</c:v>
                </c:pt>
              </c:strCache>
            </c:strRef>
          </c:cat>
          <c:val>
            <c:numRef>
              <c:f>Лист5!$H$38:$H$43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D-4F66-B584-46F2A313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074272"/>
        <c:axId val="1249067616"/>
      </c:barChart>
      <c:catAx>
        <c:axId val="124907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067616"/>
        <c:crosses val="autoZero"/>
        <c:auto val="1"/>
        <c:lblAlgn val="ctr"/>
        <c:lblOffset val="100"/>
        <c:noMultiLvlLbl val="0"/>
      </c:catAx>
      <c:valAx>
        <c:axId val="124906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07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Лист5!$I$37</c:f>
              <c:strCache>
                <c:ptCount val="1"/>
                <c:pt idx="0">
                  <c:v>Комфорт (1-5)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Лист5!$C$38:$C$43</c:f>
              <c:strCache>
                <c:ptCount val="6"/>
                <c:pt idx="0">
                  <c:v>Турция</c:v>
                </c:pt>
                <c:pt idx="1">
                  <c:v>Египет</c:v>
                </c:pt>
                <c:pt idx="2">
                  <c:v>ОАЭ</c:v>
                </c:pt>
                <c:pt idx="3">
                  <c:v>Армения</c:v>
                </c:pt>
                <c:pt idx="4">
                  <c:v>Грузия</c:v>
                </c:pt>
                <c:pt idx="5">
                  <c:v>Сербия</c:v>
                </c:pt>
              </c:strCache>
            </c:strRef>
          </c:cat>
          <c:val>
            <c:numRef>
              <c:f>Лист5!$I$38:$I$43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2-4380-BF3E-CF371DB3E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377936"/>
        <c:axId val="1343381680"/>
      </c:barChart>
      <c:catAx>
        <c:axId val="13433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3381680"/>
        <c:crosses val="autoZero"/>
        <c:auto val="1"/>
        <c:lblAlgn val="ctr"/>
        <c:lblOffset val="100"/>
        <c:noMultiLvlLbl val="0"/>
      </c:catAx>
      <c:valAx>
        <c:axId val="13433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337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Взвешенные веса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C5C-4848-ADBB-36AE3712430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5C-4848-ADBB-36AE3712430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C5C-4848-ADBB-36AE3712430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5C-4848-ADBB-36AE3712430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5C-4848-ADBB-36AE37124301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5C-4848-ADBB-36AE37124301}"/>
              </c:ext>
            </c:extLst>
          </c:dPt>
          <c:cat>
            <c:strRef>
              <c:f>Лист5!$C$38:$C$43</c:f>
              <c:strCache>
                <c:ptCount val="6"/>
                <c:pt idx="0">
                  <c:v>Турция</c:v>
                </c:pt>
                <c:pt idx="1">
                  <c:v>Египет</c:v>
                </c:pt>
                <c:pt idx="2">
                  <c:v>ОАЭ</c:v>
                </c:pt>
                <c:pt idx="3">
                  <c:v>Армения</c:v>
                </c:pt>
                <c:pt idx="4">
                  <c:v>Грузия</c:v>
                </c:pt>
                <c:pt idx="5">
                  <c:v>Сербия</c:v>
                </c:pt>
              </c:strCache>
            </c:strRef>
          </c:cat>
          <c:val>
            <c:numRef>
              <c:f>Лист5!$J$38:$J$43</c:f>
              <c:numCache>
                <c:formatCode>0.00</c:formatCode>
                <c:ptCount val="6"/>
                <c:pt idx="0">
                  <c:v>3.3563636363636364</c:v>
                </c:pt>
                <c:pt idx="1">
                  <c:v>2.6734199134199135</c:v>
                </c:pt>
                <c:pt idx="2">
                  <c:v>2.3142857142857141</c:v>
                </c:pt>
                <c:pt idx="3">
                  <c:v>3.3850216450216446</c:v>
                </c:pt>
                <c:pt idx="4">
                  <c:v>3.6115497835497834</c:v>
                </c:pt>
                <c:pt idx="5">
                  <c:v>2.8792727272727268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C-4848-ADBB-36AE37124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325216"/>
        <c:axId val="1237326464"/>
      </c:barChart>
      <c:catAx>
        <c:axId val="123732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7326464"/>
        <c:crosses val="autoZero"/>
        <c:auto val="1"/>
        <c:lblAlgn val="ctr"/>
        <c:lblOffset val="100"/>
        <c:noMultiLvlLbl val="0"/>
      </c:catAx>
      <c:valAx>
        <c:axId val="123732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732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Оценки по критериям (1–5) для допустимых альтернатив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Лист5!$C$38</c:f>
              <c:strCache>
                <c:ptCount val="1"/>
                <c:pt idx="0">
                  <c:v>Турция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Лист5!$D$37:$I$37</c:f>
              <c:strCache>
                <c:ptCount val="6"/>
                <c:pt idx="0">
                  <c:v>Цена билета (руб.)</c:v>
                </c:pt>
                <c:pt idx="1">
                  <c:v>Цена жилья (руб.)</c:v>
                </c:pt>
                <c:pt idx="2">
                  <c:v>Оформление визы (дней)</c:v>
                </c:pt>
                <c:pt idx="3">
                  <c:v>Количество экскурсий</c:v>
                </c:pt>
                <c:pt idx="4">
                  <c:v>Безопасность (1-5)</c:v>
                </c:pt>
                <c:pt idx="5">
                  <c:v>Комфорт (1-5)</c:v>
                </c:pt>
              </c:strCache>
            </c:strRef>
          </c:cat>
          <c:val>
            <c:numRef>
              <c:f>Лист5!$D$38:$I$38</c:f>
              <c:numCache>
                <c:formatCode>0</c:formatCode>
                <c:ptCount val="6"/>
                <c:pt idx="0">
                  <c:v>2.4545454545454546</c:v>
                </c:pt>
                <c:pt idx="1">
                  <c:v>2.6</c:v>
                </c:pt>
                <c:pt idx="2" formatCode="General">
                  <c:v>5</c:v>
                </c:pt>
                <c:pt idx="3">
                  <c:v>5</c:v>
                </c:pt>
                <c:pt idx="4" formatCode="General">
                  <c:v>3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3-48B0-A1AD-7C97D9B57F31}"/>
            </c:ext>
          </c:extLst>
        </c:ser>
        <c:ser>
          <c:idx val="1"/>
          <c:order val="1"/>
          <c:tx>
            <c:strRef>
              <c:f>Лист5!$C$39</c:f>
              <c:strCache>
                <c:ptCount val="1"/>
                <c:pt idx="0">
                  <c:v>Египет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Лист5!$D$37:$I$37</c:f>
              <c:strCache>
                <c:ptCount val="6"/>
                <c:pt idx="0">
                  <c:v>Цена билета (руб.)</c:v>
                </c:pt>
                <c:pt idx="1">
                  <c:v>Цена жилья (руб.)</c:v>
                </c:pt>
                <c:pt idx="2">
                  <c:v>Оформление визы (дней)</c:v>
                </c:pt>
                <c:pt idx="3">
                  <c:v>Количество экскурсий</c:v>
                </c:pt>
                <c:pt idx="4">
                  <c:v>Безопасность (1-5)</c:v>
                </c:pt>
                <c:pt idx="5">
                  <c:v>Комфорт (1-5)</c:v>
                </c:pt>
              </c:strCache>
            </c:strRef>
          </c:cat>
          <c:val>
            <c:numRef>
              <c:f>Лист5!$D$39:$I$39</c:f>
              <c:numCache>
                <c:formatCode>0</c:formatCode>
                <c:ptCount val="6"/>
                <c:pt idx="0">
                  <c:v>1.7272727272727273</c:v>
                </c:pt>
                <c:pt idx="1">
                  <c:v>3.1333333333333333</c:v>
                </c:pt>
                <c:pt idx="2" formatCode="General">
                  <c:v>2</c:v>
                </c:pt>
                <c:pt idx="3">
                  <c:v>3.2857142857142856</c:v>
                </c:pt>
                <c:pt idx="4" formatCode="General">
                  <c:v>3</c:v>
                </c:pt>
                <c:pt idx="5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C3-48B0-A1AD-7C97D9B57F31}"/>
            </c:ext>
          </c:extLst>
        </c:ser>
        <c:ser>
          <c:idx val="2"/>
          <c:order val="2"/>
          <c:tx>
            <c:strRef>
              <c:f>Лист5!$C$40</c:f>
              <c:strCache>
                <c:ptCount val="1"/>
                <c:pt idx="0">
                  <c:v>ОАЭ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Лист5!$D$37:$I$37</c:f>
              <c:strCache>
                <c:ptCount val="6"/>
                <c:pt idx="0">
                  <c:v>Цена билета (руб.)</c:v>
                </c:pt>
                <c:pt idx="1">
                  <c:v>Цена жилья (руб.)</c:v>
                </c:pt>
                <c:pt idx="2">
                  <c:v>Оформление визы (дней)</c:v>
                </c:pt>
                <c:pt idx="3">
                  <c:v>Количество экскурсий</c:v>
                </c:pt>
                <c:pt idx="4">
                  <c:v>Безопасность (1-5)</c:v>
                </c:pt>
                <c:pt idx="5">
                  <c:v>Комфорт (1-5)</c:v>
                </c:pt>
              </c:strCache>
            </c:strRef>
          </c:cat>
          <c:val>
            <c:numRef>
              <c:f>Лист5!$D$40:$I$40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 formatCode="General">
                  <c:v>1</c:v>
                </c:pt>
                <c:pt idx="3">
                  <c:v>2.1428571428571428</c:v>
                </c:pt>
                <c:pt idx="4" formatCode="General">
                  <c:v>5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C3-48B0-A1AD-7C97D9B57F31}"/>
            </c:ext>
          </c:extLst>
        </c:ser>
        <c:ser>
          <c:idx val="3"/>
          <c:order val="3"/>
          <c:tx>
            <c:strRef>
              <c:f>Лист5!$C$41</c:f>
              <c:strCache>
                <c:ptCount val="1"/>
                <c:pt idx="0">
                  <c:v>Армения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Лист5!$D$37:$I$37</c:f>
              <c:strCache>
                <c:ptCount val="6"/>
                <c:pt idx="0">
                  <c:v>Цена билета (руб.)</c:v>
                </c:pt>
                <c:pt idx="1">
                  <c:v>Цена жилья (руб.)</c:v>
                </c:pt>
                <c:pt idx="2">
                  <c:v>Оформление визы (дней)</c:v>
                </c:pt>
                <c:pt idx="3">
                  <c:v>Количество экскурсий</c:v>
                </c:pt>
                <c:pt idx="4">
                  <c:v>Безопасность (1-5)</c:v>
                </c:pt>
                <c:pt idx="5">
                  <c:v>Комфорт (1-5)</c:v>
                </c:pt>
              </c:strCache>
            </c:strRef>
          </c:cat>
          <c:val>
            <c:numRef>
              <c:f>Лист5!$D$41:$I$41</c:f>
              <c:numCache>
                <c:formatCode>0</c:formatCode>
                <c:ptCount val="6"/>
                <c:pt idx="0">
                  <c:v>3.1818181818181817</c:v>
                </c:pt>
                <c:pt idx="1">
                  <c:v>2.8666666666666667</c:v>
                </c:pt>
                <c:pt idx="2" formatCode="General">
                  <c:v>5</c:v>
                </c:pt>
                <c:pt idx="3">
                  <c:v>1.5714285714285714</c:v>
                </c:pt>
                <c:pt idx="4" formatCode="General">
                  <c:v>4</c:v>
                </c:pt>
                <c:pt idx="5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C3-48B0-A1AD-7C97D9B57F31}"/>
            </c:ext>
          </c:extLst>
        </c:ser>
        <c:ser>
          <c:idx val="4"/>
          <c:order val="4"/>
          <c:tx>
            <c:strRef>
              <c:f>Лист5!$C$42</c:f>
              <c:strCache>
                <c:ptCount val="1"/>
                <c:pt idx="0">
                  <c:v>Грузия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Лист5!$D$37:$I$37</c:f>
              <c:strCache>
                <c:ptCount val="6"/>
                <c:pt idx="0">
                  <c:v>Цена билета (руб.)</c:v>
                </c:pt>
                <c:pt idx="1">
                  <c:v>Цена жилья (руб.)</c:v>
                </c:pt>
                <c:pt idx="2">
                  <c:v>Оформление визы (дней)</c:v>
                </c:pt>
                <c:pt idx="3">
                  <c:v>Количество экскурсий</c:v>
                </c:pt>
                <c:pt idx="4">
                  <c:v>Безопасность (1-5)</c:v>
                </c:pt>
                <c:pt idx="5">
                  <c:v>Комфорт (1-5)</c:v>
                </c:pt>
              </c:strCache>
            </c:strRef>
          </c:cat>
          <c:val>
            <c:numRef>
              <c:f>Лист5!$D$42:$I$42</c:f>
              <c:numCache>
                <c:formatCode>0</c:formatCode>
                <c:ptCount val="6"/>
                <c:pt idx="0">
                  <c:v>2.8181818181818183</c:v>
                </c:pt>
                <c:pt idx="1">
                  <c:v>2.9733333333333336</c:v>
                </c:pt>
                <c:pt idx="2" formatCode="General">
                  <c:v>5</c:v>
                </c:pt>
                <c:pt idx="3">
                  <c:v>2.7142857142857144</c:v>
                </c:pt>
                <c:pt idx="4" formatCode="General">
                  <c:v>5</c:v>
                </c:pt>
                <c:pt idx="5" formatCode="General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C3-48B0-A1AD-7C97D9B57F31}"/>
            </c:ext>
          </c:extLst>
        </c:ser>
        <c:ser>
          <c:idx val="5"/>
          <c:order val="5"/>
          <c:tx>
            <c:strRef>
              <c:f>Лист5!$C$43</c:f>
              <c:strCache>
                <c:ptCount val="1"/>
                <c:pt idx="0">
                  <c:v>Сербия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Лист5!$D$37:$I$37</c:f>
              <c:strCache>
                <c:ptCount val="6"/>
                <c:pt idx="0">
                  <c:v>Цена билета (руб.)</c:v>
                </c:pt>
                <c:pt idx="1">
                  <c:v>Цена жилья (руб.)</c:v>
                </c:pt>
                <c:pt idx="2">
                  <c:v>Оформление визы (дней)</c:v>
                </c:pt>
                <c:pt idx="3">
                  <c:v>Количество экскурсий</c:v>
                </c:pt>
                <c:pt idx="4">
                  <c:v>Безопасность (1-5)</c:v>
                </c:pt>
                <c:pt idx="5">
                  <c:v>Комфорт (1-5)</c:v>
                </c:pt>
              </c:strCache>
            </c:strRef>
          </c:cat>
          <c:val>
            <c:numRef>
              <c:f>Лист5!$D$43:$I$43</c:f>
              <c:numCache>
                <c:formatCode>0</c:formatCode>
                <c:ptCount val="6"/>
                <c:pt idx="0">
                  <c:v>2.0909090909090908</c:v>
                </c:pt>
                <c:pt idx="1">
                  <c:v>2.76</c:v>
                </c:pt>
                <c:pt idx="2" formatCode="General">
                  <c:v>5</c:v>
                </c:pt>
                <c:pt idx="3">
                  <c:v>1</c:v>
                </c:pt>
                <c:pt idx="4" formatCode="General">
                  <c:v>4</c:v>
                </c:pt>
                <c:pt idx="5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9C3-48B0-A1AD-7C97D9B57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068448"/>
        <c:axId val="1249070528"/>
      </c:barChart>
      <c:catAx>
        <c:axId val="12490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070528"/>
        <c:crosses val="autoZero"/>
        <c:auto val="1"/>
        <c:lblAlgn val="ctr"/>
        <c:lblOffset val="100"/>
        <c:noMultiLvlLbl val="0"/>
      </c:catAx>
      <c:valAx>
        <c:axId val="1249070528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90684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4</xdr:col>
      <xdr:colOff>609600</xdr:colOff>
      <xdr:row>24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245653-1FEE-4743-A902-7A8B65B2D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623886</xdr:colOff>
      <xdr:row>10</xdr:row>
      <xdr:rowOff>9525</xdr:rowOff>
    </xdr:from>
    <xdr:to>
      <xdr:col>7</xdr:col>
      <xdr:colOff>476249</xdr:colOff>
      <xdr:row>24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04F957C-F1F9-45DD-B2BC-AE776B9BD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442913</xdr:colOff>
      <xdr:row>10</xdr:row>
      <xdr:rowOff>9525</xdr:rowOff>
    </xdr:from>
    <xdr:to>
      <xdr:col>12</xdr:col>
      <xdr:colOff>590551</xdr:colOff>
      <xdr:row>24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0DA9F9C-9BC1-4807-A13E-83C9D3EAB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171450</xdr:rowOff>
    </xdr:from>
    <xdr:to>
      <xdr:col>7</xdr:col>
      <xdr:colOff>9525</xdr:colOff>
      <xdr:row>11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8823A70-B8C2-4636-BC94-107235FF7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14</xdr:col>
      <xdr:colOff>0</xdr:colOff>
      <xdr:row>12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C181D69-B3F4-424D-9BA1-C554C9D00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600075</xdr:colOff>
      <xdr:row>1</xdr:row>
      <xdr:rowOff>0</xdr:rowOff>
    </xdr:from>
    <xdr:to>
      <xdr:col>21</xdr:col>
      <xdr:colOff>19050</xdr:colOff>
      <xdr:row>12</xdr:row>
      <xdr:rowOff>9525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1B9A5CE-1DF5-41E3-B1CD-F58DB169D6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600075</xdr:colOff>
      <xdr:row>14</xdr:row>
      <xdr:rowOff>19050</xdr:rowOff>
    </xdr:from>
    <xdr:to>
      <xdr:col>7</xdr:col>
      <xdr:colOff>19050</xdr:colOff>
      <xdr:row>25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9F38815-FD20-4D3C-B74B-A903DB7AA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600075</xdr:colOff>
      <xdr:row>13</xdr:row>
      <xdr:rowOff>180975</xdr:rowOff>
    </xdr:from>
    <xdr:to>
      <xdr:col>21</xdr:col>
      <xdr:colOff>47625</xdr:colOff>
      <xdr:row>25</xdr:row>
      <xdr:rowOff>9525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E000BC5-6996-498D-806F-122459429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14</xdr:row>
      <xdr:rowOff>0</xdr:rowOff>
    </xdr:from>
    <xdr:to>
      <xdr:col>14</xdr:col>
      <xdr:colOff>0</xdr:colOff>
      <xdr:row>24</xdr:row>
      <xdr:rowOff>180975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3FE22B2-EF48-4C06-AFE2-63005861F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26</xdr:row>
      <xdr:rowOff>19050</xdr:rowOff>
    </xdr:from>
    <xdr:to>
      <xdr:col>7</xdr:col>
      <xdr:colOff>22411</xdr:colOff>
      <xdr:row>38</xdr:row>
      <xdr:rowOff>22410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3A0BE89-C3C9-44E4-AF54-49EA0D95D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11206</xdr:colOff>
      <xdr:row>4</xdr:row>
      <xdr:rowOff>168089</xdr:rowOff>
    </xdr:from>
    <xdr:to>
      <xdr:col>33</xdr:col>
      <xdr:colOff>22412</xdr:colOff>
      <xdr:row>21</xdr:row>
      <xdr:rowOff>156883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50216E4-193F-46A9-9C6A-F45E2768B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"/>
  <sheetViews>
    <sheetView workbookViewId="0">
      <selection activeCell="B4" sqref="B4"/>
    </sheetView>
  </sheetViews>
  <sheetFormatPr defaultRowHeight="15" x14ac:dyDescent="0.25"/>
  <cols>
    <col min="2" max="2" width="13.28515625" customWidth="1"/>
    <col min="3" max="3" width="9.85546875" customWidth="1"/>
    <col min="4" max="4" width="6.42578125" customWidth="1"/>
    <col min="5" max="5" width="12.42578125" customWidth="1"/>
  </cols>
  <sheetData>
    <row r="2" spans="2:5" x14ac:dyDescent="0.25">
      <c r="B2" t="s">
        <v>0</v>
      </c>
      <c r="C2" t="s">
        <v>1</v>
      </c>
      <c r="D2" t="s">
        <v>2</v>
      </c>
      <c r="E2" s="1">
        <v>46266</v>
      </c>
    </row>
    <row r="3" spans="2:5" x14ac:dyDescent="0.25"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7E10-D1C7-4FC5-B37D-2540019431F5}">
  <dimension ref="A1:M32"/>
  <sheetViews>
    <sheetView topLeftCell="A4" workbookViewId="0">
      <selection activeCell="B35" sqref="B35"/>
    </sheetView>
  </sheetViews>
  <sheetFormatPr defaultRowHeight="15" x14ac:dyDescent="0.25"/>
  <cols>
    <col min="1" max="1" width="15.28515625" customWidth="1"/>
    <col min="2" max="2" width="20.28515625" customWidth="1"/>
    <col min="3" max="3" width="13.5703125" customWidth="1"/>
    <col min="4" max="4" width="19.85546875" customWidth="1"/>
    <col min="5" max="5" width="14.85546875" customWidth="1"/>
    <col min="6" max="6" width="11.85546875" customWidth="1"/>
    <col min="7" max="7" width="21.7109375" customWidth="1"/>
    <col min="8" max="8" width="21.85546875" customWidth="1"/>
    <col min="9" max="9" width="8" customWidth="1"/>
    <col min="10" max="10" width="9.28515625" bestFit="1" customWidth="1"/>
    <col min="11" max="11" width="19.140625" bestFit="1" customWidth="1"/>
  </cols>
  <sheetData>
    <row r="1" spans="1:13" ht="27.75" customHeight="1" thickBot="1" x14ac:dyDescent="0.3">
      <c r="A1" s="25" t="s">
        <v>4</v>
      </c>
      <c r="B1" s="26" t="s">
        <v>5</v>
      </c>
      <c r="C1" s="53" t="s">
        <v>6</v>
      </c>
      <c r="D1" s="54"/>
      <c r="E1" s="54"/>
      <c r="F1" s="55"/>
      <c r="G1" s="27" t="s">
        <v>7</v>
      </c>
      <c r="H1" s="26" t="s">
        <v>8</v>
      </c>
      <c r="I1" s="27" t="s">
        <v>9</v>
      </c>
      <c r="J1" s="26" t="s">
        <v>10</v>
      </c>
      <c r="K1" s="28" t="s">
        <v>16</v>
      </c>
    </row>
    <row r="2" spans="1:13" ht="15.75" x14ac:dyDescent="0.25">
      <c r="A2" s="12" t="s">
        <v>11</v>
      </c>
      <c r="B2" s="15">
        <v>130000</v>
      </c>
      <c r="C2" s="9">
        <v>70000</v>
      </c>
      <c r="D2" s="10">
        <v>80000</v>
      </c>
      <c r="E2" s="10">
        <v>60000</v>
      </c>
      <c r="F2" s="11"/>
      <c r="G2" s="18">
        <v>0.1</v>
      </c>
      <c r="H2" s="15">
        <v>3</v>
      </c>
      <c r="I2" s="18">
        <v>3</v>
      </c>
      <c r="J2" s="15">
        <v>4</v>
      </c>
      <c r="K2" s="22">
        <v>5</v>
      </c>
      <c r="M2" s="2" t="s">
        <v>21</v>
      </c>
    </row>
    <row r="3" spans="1:13" ht="15.75" x14ac:dyDescent="0.25">
      <c r="A3" s="13" t="s">
        <v>12</v>
      </c>
      <c r="B3" s="16">
        <v>95000</v>
      </c>
      <c r="C3" s="4">
        <v>40000</v>
      </c>
      <c r="D3" s="3">
        <v>35000</v>
      </c>
      <c r="E3" s="3">
        <v>55000</v>
      </c>
      <c r="F3" s="5"/>
      <c r="G3" s="19">
        <v>0.09</v>
      </c>
      <c r="H3" s="16">
        <v>3</v>
      </c>
      <c r="I3" s="19">
        <v>2</v>
      </c>
      <c r="J3" s="16">
        <v>5</v>
      </c>
      <c r="K3" s="23">
        <v>3</v>
      </c>
      <c r="M3" s="2" t="s">
        <v>20</v>
      </c>
    </row>
    <row r="4" spans="1:13" ht="15.75" x14ac:dyDescent="0.25">
      <c r="A4" s="13" t="s">
        <v>13</v>
      </c>
      <c r="B4" s="16">
        <v>210000</v>
      </c>
      <c r="C4" s="4">
        <v>90000</v>
      </c>
      <c r="D4" s="3">
        <v>100000</v>
      </c>
      <c r="E4" s="3">
        <v>80000</v>
      </c>
      <c r="F4" s="5"/>
      <c r="G4" s="20">
        <v>0.08</v>
      </c>
      <c r="H4" s="16">
        <v>3</v>
      </c>
      <c r="I4" s="19">
        <v>4</v>
      </c>
      <c r="J4" s="16">
        <v>2</v>
      </c>
      <c r="K4" s="23">
        <v>4</v>
      </c>
      <c r="M4" s="2" t="s">
        <v>19</v>
      </c>
    </row>
    <row r="5" spans="1:13" ht="15.75" x14ac:dyDescent="0.25">
      <c r="A5" s="13" t="s">
        <v>14</v>
      </c>
      <c r="B5" s="16">
        <v>170000</v>
      </c>
      <c r="C5" s="4">
        <v>30000</v>
      </c>
      <c r="D5" s="3">
        <v>40000</v>
      </c>
      <c r="E5" s="3">
        <v>50000</v>
      </c>
      <c r="F5" s="5">
        <v>60000</v>
      </c>
      <c r="G5" s="19">
        <v>0.11</v>
      </c>
      <c r="H5" s="16">
        <v>4</v>
      </c>
      <c r="I5" s="19">
        <v>1</v>
      </c>
      <c r="J5" s="16">
        <v>3</v>
      </c>
      <c r="K5" s="23">
        <v>2</v>
      </c>
      <c r="M5" s="2" t="s">
        <v>18</v>
      </c>
    </row>
    <row r="6" spans="1:13" ht="16.5" thickBot="1" x14ac:dyDescent="0.3">
      <c r="A6" s="14" t="s">
        <v>15</v>
      </c>
      <c r="B6" s="17">
        <v>115000</v>
      </c>
      <c r="C6" s="6">
        <v>50000</v>
      </c>
      <c r="D6" s="7">
        <v>55000</v>
      </c>
      <c r="E6" s="7">
        <v>45000</v>
      </c>
      <c r="F6" s="8"/>
      <c r="G6" s="21">
        <v>0.09</v>
      </c>
      <c r="H6" s="17">
        <v>3</v>
      </c>
      <c r="I6" s="21">
        <v>3</v>
      </c>
      <c r="J6" s="17">
        <v>4</v>
      </c>
      <c r="K6" s="24">
        <v>4</v>
      </c>
      <c r="M6" s="2" t="s">
        <v>17</v>
      </c>
    </row>
    <row r="8" spans="1:13" ht="15.75" x14ac:dyDescent="0.25">
      <c r="A8" s="29" t="s">
        <v>22</v>
      </c>
    </row>
    <row r="9" spans="1:13" ht="15.75" x14ac:dyDescent="0.25">
      <c r="A9" s="29" t="s">
        <v>23</v>
      </c>
    </row>
    <row r="11" spans="1:13" s="30" customFormat="1" ht="2.25" customHeight="1" x14ac:dyDescent="0.25"/>
    <row r="12" spans="1:13" x14ac:dyDescent="0.25">
      <c r="A12" s="34" t="s">
        <v>24</v>
      </c>
    </row>
    <row r="13" spans="1:13" ht="15.75" thickBot="1" x14ac:dyDescent="0.3"/>
    <row r="14" spans="1:13" ht="24.75" customHeight="1" thickBot="1" x14ac:dyDescent="0.3">
      <c r="A14" s="25" t="s">
        <v>4</v>
      </c>
      <c r="B14" s="26" t="s">
        <v>5</v>
      </c>
      <c r="C14" s="31" t="s">
        <v>33</v>
      </c>
      <c r="D14" s="32" t="s">
        <v>25</v>
      </c>
      <c r="E14" s="33" t="s">
        <v>26</v>
      </c>
    </row>
    <row r="15" spans="1:13" x14ac:dyDescent="0.25">
      <c r="A15" s="12" t="s">
        <v>11</v>
      </c>
      <c r="B15" s="12">
        <v>130000</v>
      </c>
      <c r="C15" s="35">
        <f>NPV(G2,C2:E2)-B2</f>
        <v>44830.9541697971</v>
      </c>
      <c r="D15" s="49">
        <f>(C15/B15)*100</f>
        <v>34.485349361382383</v>
      </c>
      <c r="E15" s="38" t="str">
        <f>IF(B15&lt;=190000,"да","нет")</f>
        <v>да</v>
      </c>
    </row>
    <row r="16" spans="1:13" x14ac:dyDescent="0.25">
      <c r="A16" s="13" t="s">
        <v>12</v>
      </c>
      <c r="B16" s="13">
        <v>95000</v>
      </c>
      <c r="C16" s="36">
        <f t="shared" ref="C16:C19" si="0">NPV(G3,C3:E3)-B3</f>
        <v>13626.13887411014</v>
      </c>
      <c r="D16" s="50">
        <f t="shared" ref="D16:D19" si="1">(C16/B16)*100</f>
        <v>14.343304078010673</v>
      </c>
      <c r="E16" s="23" t="str">
        <f t="shared" ref="E16:E19" si="2">IF(B16&lt;=190000,"да","нет")</f>
        <v>да</v>
      </c>
    </row>
    <row r="17" spans="1:8" x14ac:dyDescent="0.25">
      <c r="A17" s="13" t="s">
        <v>13</v>
      </c>
      <c r="B17" s="13">
        <v>210000</v>
      </c>
      <c r="C17" s="36">
        <f t="shared" si="0"/>
        <v>22573.794645125221</v>
      </c>
      <c r="D17" s="50">
        <f t="shared" si="1"/>
        <v>10.749426021488201</v>
      </c>
      <c r="E17" s="23" t="str">
        <f t="shared" si="2"/>
        <v>нет</v>
      </c>
    </row>
    <row r="18" spans="1:8" x14ac:dyDescent="0.25">
      <c r="A18" s="13" t="s">
        <v>14</v>
      </c>
      <c r="B18" s="13">
        <v>170000</v>
      </c>
      <c r="C18" s="36">
        <f>NPV(G5,C5:F5)-B5</f>
        <v>-34424.648129463254</v>
      </c>
      <c r="D18" s="52">
        <f t="shared" si="1"/>
        <v>-20.249793017331324</v>
      </c>
      <c r="E18" s="23" t="str">
        <f t="shared" si="2"/>
        <v>да</v>
      </c>
    </row>
    <row r="19" spans="1:8" ht="15.75" thickBot="1" x14ac:dyDescent="0.3">
      <c r="A19" s="14" t="s">
        <v>15</v>
      </c>
      <c r="B19" s="14">
        <v>115000</v>
      </c>
      <c r="C19" s="37">
        <f t="shared" si="0"/>
        <v>11912.215865436199</v>
      </c>
      <c r="D19" s="51">
        <f t="shared" si="1"/>
        <v>10.358448578640173</v>
      </c>
      <c r="E19" s="24" t="str">
        <f t="shared" si="2"/>
        <v>да</v>
      </c>
    </row>
    <row r="21" spans="1:8" s="30" customFormat="1" ht="2.25" customHeight="1" x14ac:dyDescent="0.25"/>
    <row r="23" spans="1:8" x14ac:dyDescent="0.25">
      <c r="A23" s="34" t="s">
        <v>27</v>
      </c>
    </row>
    <row r="24" spans="1:8" ht="15.75" thickBot="1" x14ac:dyDescent="0.3"/>
    <row r="25" spans="1:8" ht="22.5" customHeight="1" thickBot="1" x14ac:dyDescent="0.3">
      <c r="A25" s="31" t="s">
        <v>4</v>
      </c>
      <c r="B25" s="32" t="s">
        <v>28</v>
      </c>
      <c r="C25" s="31" t="s">
        <v>29</v>
      </c>
      <c r="D25" s="32" t="s">
        <v>9</v>
      </c>
      <c r="E25" s="33" t="s">
        <v>30</v>
      </c>
      <c r="F25" s="32" t="s">
        <v>10</v>
      </c>
      <c r="G25" s="33" t="s">
        <v>16</v>
      </c>
      <c r="H25" s="33" t="s">
        <v>31</v>
      </c>
    </row>
    <row r="26" spans="1:8" x14ac:dyDescent="0.25">
      <c r="A26" s="43" t="s">
        <v>11</v>
      </c>
      <c r="B26" s="46">
        <f>(C15-MIN($C$15:$C$19))/(MAX($C$15:$C$19)-MIN($C$15:$C$19))*4+1</f>
        <v>5</v>
      </c>
      <c r="C26" s="46">
        <f>(D15-MIN($D$15:$D$19))/(MAX($D$15:$D$19)-MIN($D$15:$D$19))*4+1</f>
        <v>5</v>
      </c>
      <c r="D26" s="39">
        <v>3</v>
      </c>
      <c r="E26" s="49">
        <f>(MAX($I$2:$I$6)-D26)/(MAX($I$2:$I$6)-MIN($I$2:$I$6))*4+1</f>
        <v>2.333333333333333</v>
      </c>
      <c r="F26" s="38">
        <v>4</v>
      </c>
      <c r="G26" s="38">
        <v>5</v>
      </c>
      <c r="H26" s="44">
        <f>B26*0.45+C26*0.25+E26*0.15+F26*0.1+G26*0.05</f>
        <v>4.5</v>
      </c>
    </row>
    <row r="27" spans="1:8" x14ac:dyDescent="0.25">
      <c r="A27" s="13" t="s">
        <v>12</v>
      </c>
      <c r="B27" s="47">
        <f t="shared" ref="B27" si="3">(C16-MIN($C$15:$C$19))/(MAX($C$15:$C$19)-MIN($C$15:$C$19))*4+1</f>
        <v>3.4251048814007601</v>
      </c>
      <c r="C27" s="47">
        <f t="shared" ref="C27" si="4">(D16-MIN($D$15:$D$19))/(MAX($D$15:$D$19)-MIN($D$15:$D$19))*4+1</f>
        <v>3.5280355977511899</v>
      </c>
      <c r="D27" s="40">
        <v>2</v>
      </c>
      <c r="E27" s="50">
        <f t="shared" ref="E27:E29" si="5">(MAX($I$2:$I$6)-D27)/(MAX($I$2:$I$6)-MIN($I$2:$I$6))*4+1</f>
        <v>3.6666666666666665</v>
      </c>
      <c r="F27" s="23">
        <v>5</v>
      </c>
      <c r="G27" s="23">
        <v>3</v>
      </c>
      <c r="H27" s="42">
        <f t="shared" ref="H27:H29" si="6">B27*0.45+C27*0.25+E27*0.15+F27*0.1+G27*0.05</f>
        <v>3.6233060960681391</v>
      </c>
    </row>
    <row r="28" spans="1:8" x14ac:dyDescent="0.25">
      <c r="A28" s="13" t="s">
        <v>14</v>
      </c>
      <c r="B28" s="47">
        <f>(C18-MIN($C$15:$C$19))/(MAX($C$15:$C$19)-MIN($C$15:$C$19))*4+1</f>
        <v>1</v>
      </c>
      <c r="C28" s="47">
        <f>(D18-MIN($D$15:$D$19))/(MAX($D$15:$D$19)-MIN($D$15:$D$19))*4+1</f>
        <v>1</v>
      </c>
      <c r="D28" s="40">
        <v>1</v>
      </c>
      <c r="E28" s="50">
        <f t="shared" si="5"/>
        <v>5</v>
      </c>
      <c r="F28" s="23">
        <v>3</v>
      </c>
      <c r="G28" s="23">
        <v>2</v>
      </c>
      <c r="H28" s="42">
        <f t="shared" si="6"/>
        <v>1.85</v>
      </c>
    </row>
    <row r="29" spans="1:8" ht="15.75" thickBot="1" x14ac:dyDescent="0.3">
      <c r="A29" s="14" t="s">
        <v>15</v>
      </c>
      <c r="B29" s="48">
        <f>(C19-MIN($C$15:$C$19))/(MAX($C$15:$C$19)-MIN($C$15:$C$19))*4+1</f>
        <v>3.338603841274796</v>
      </c>
      <c r="C29" s="48">
        <f>(D19-MIN($D$15:$D$19))/(MAX($D$15:$D$19)-MIN($D$15:$D$19))*4+1</f>
        <v>3.2368255760945956</v>
      </c>
      <c r="D29" s="41">
        <v>3</v>
      </c>
      <c r="E29" s="51">
        <f t="shared" si="5"/>
        <v>2.333333333333333</v>
      </c>
      <c r="F29" s="24">
        <v>4</v>
      </c>
      <c r="G29" s="24">
        <v>4</v>
      </c>
      <c r="H29" s="45">
        <f t="shared" si="6"/>
        <v>3.2615781225973075</v>
      </c>
    </row>
    <row r="32" spans="1:8" s="30" customFormat="1" ht="2.25" customHeight="1" x14ac:dyDescent="0.25"/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8A4B-164D-46DA-A40A-429ADADE0CEE}">
  <dimension ref="B2:E27"/>
  <sheetViews>
    <sheetView zoomScale="85" zoomScaleNormal="85" workbookViewId="0">
      <selection activeCell="E28" sqref="E28"/>
    </sheetView>
  </sheetViews>
  <sheetFormatPr defaultRowHeight="15" x14ac:dyDescent="0.25"/>
  <cols>
    <col min="3" max="3" width="18.5703125" customWidth="1"/>
    <col min="4" max="4" width="14.5703125" customWidth="1"/>
    <col min="5" max="5" width="28.5703125" customWidth="1"/>
  </cols>
  <sheetData>
    <row r="2" spans="2:5" x14ac:dyDescent="0.25">
      <c r="B2" s="34" t="s">
        <v>32</v>
      </c>
    </row>
    <row r="3" spans="2:5" ht="15.75" thickBot="1" x14ac:dyDescent="0.3"/>
    <row r="4" spans="2:5" ht="15.75" thickBot="1" x14ac:dyDescent="0.3">
      <c r="B4" s="31" t="s">
        <v>4</v>
      </c>
      <c r="C4" s="31" t="s">
        <v>33</v>
      </c>
      <c r="D4" s="32" t="s">
        <v>25</v>
      </c>
      <c r="E4" s="33" t="s">
        <v>31</v>
      </c>
    </row>
    <row r="5" spans="2:5" x14ac:dyDescent="0.25">
      <c r="B5" s="43" t="s">
        <v>11</v>
      </c>
      <c r="C5" s="35">
        <v>44830.9541697971</v>
      </c>
      <c r="D5" s="49">
        <v>34.485349361382383</v>
      </c>
      <c r="E5" s="44">
        <v>4.5</v>
      </c>
    </row>
    <row r="6" spans="2:5" x14ac:dyDescent="0.25">
      <c r="B6" s="13" t="s">
        <v>12</v>
      </c>
      <c r="C6" s="36">
        <v>13626.13887411014</v>
      </c>
      <c r="D6" s="50">
        <v>14.343304078010673</v>
      </c>
      <c r="E6" s="42">
        <v>3.6233060960681391</v>
      </c>
    </row>
    <row r="7" spans="2:5" x14ac:dyDescent="0.25">
      <c r="B7" s="13" t="s">
        <v>14</v>
      </c>
      <c r="C7" s="36">
        <v>-34424.648129463254</v>
      </c>
      <c r="D7" s="52">
        <v>-20.249793017331324</v>
      </c>
      <c r="E7" s="42">
        <v>1.85</v>
      </c>
    </row>
    <row r="8" spans="2:5" ht="15.75" thickBot="1" x14ac:dyDescent="0.3">
      <c r="B8" s="14" t="s">
        <v>15</v>
      </c>
      <c r="C8" s="37">
        <v>11912.215865436199</v>
      </c>
      <c r="D8" s="51">
        <v>10.358448578640173</v>
      </c>
      <c r="E8" s="45">
        <v>3.2615781225973075</v>
      </c>
    </row>
    <row r="27" spans="2:2" x14ac:dyDescent="0.25">
      <c r="B27" t="s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BEFD-6F4A-4838-821F-C4DAFF9F1CBC}">
  <dimension ref="A1:M32"/>
  <sheetViews>
    <sheetView workbookViewId="0">
      <selection activeCell="B35" sqref="B35"/>
    </sheetView>
  </sheetViews>
  <sheetFormatPr defaultRowHeight="15" x14ac:dyDescent="0.25"/>
  <cols>
    <col min="1" max="1" width="15.28515625" customWidth="1"/>
    <col min="2" max="2" width="20.28515625" customWidth="1"/>
    <col min="3" max="3" width="13.5703125" customWidth="1"/>
    <col min="4" max="4" width="19.85546875" customWidth="1"/>
    <col min="5" max="5" width="14.85546875" customWidth="1"/>
    <col min="6" max="6" width="11.85546875" customWidth="1"/>
    <col min="7" max="7" width="21.7109375" customWidth="1"/>
    <col min="8" max="8" width="21.85546875" customWidth="1"/>
    <col min="9" max="9" width="8" customWidth="1"/>
    <col min="10" max="10" width="9.28515625" bestFit="1" customWidth="1"/>
    <col min="11" max="11" width="19.140625" bestFit="1" customWidth="1"/>
  </cols>
  <sheetData>
    <row r="1" spans="1:13" ht="27.75" customHeight="1" thickBot="1" x14ac:dyDescent="0.3">
      <c r="A1" s="25" t="s">
        <v>4</v>
      </c>
      <c r="B1" s="26" t="s">
        <v>5</v>
      </c>
      <c r="C1" s="53" t="s">
        <v>6</v>
      </c>
      <c r="D1" s="54"/>
      <c r="E1" s="54"/>
      <c r="F1" s="55"/>
      <c r="G1" s="27" t="s">
        <v>7</v>
      </c>
      <c r="H1" s="26" t="s">
        <v>8</v>
      </c>
      <c r="I1" s="27" t="s">
        <v>9</v>
      </c>
      <c r="J1" s="26" t="s">
        <v>10</v>
      </c>
      <c r="K1" s="28" t="s">
        <v>16</v>
      </c>
    </row>
    <row r="2" spans="1:13" ht="15.75" x14ac:dyDescent="0.25">
      <c r="A2" s="12" t="s">
        <v>11</v>
      </c>
      <c r="B2" s="15">
        <v>130000</v>
      </c>
      <c r="C2" s="9">
        <v>70000</v>
      </c>
      <c r="D2" s="10">
        <v>80000</v>
      </c>
      <c r="E2" s="10">
        <v>60000</v>
      </c>
      <c r="F2" s="11"/>
      <c r="G2" s="18">
        <v>0.1</v>
      </c>
      <c r="H2" s="15">
        <v>3</v>
      </c>
      <c r="I2" s="18">
        <v>3</v>
      </c>
      <c r="J2" s="15">
        <v>4</v>
      </c>
      <c r="K2" s="22">
        <v>5</v>
      </c>
      <c r="M2" s="2" t="s">
        <v>21</v>
      </c>
    </row>
    <row r="3" spans="1:13" ht="15.75" x14ac:dyDescent="0.25">
      <c r="A3" s="13" t="s">
        <v>12</v>
      </c>
      <c r="B3" s="16">
        <v>95000</v>
      </c>
      <c r="C3" s="4">
        <v>40000</v>
      </c>
      <c r="D3" s="3">
        <v>35000</v>
      </c>
      <c r="E3" s="3">
        <v>55000</v>
      </c>
      <c r="F3" s="5"/>
      <c r="G3" s="19">
        <v>0.09</v>
      </c>
      <c r="H3" s="16">
        <v>3</v>
      </c>
      <c r="I3" s="19">
        <v>2</v>
      </c>
      <c r="J3" s="16">
        <v>5</v>
      </c>
      <c r="K3" s="23">
        <v>3</v>
      </c>
      <c r="M3" s="2" t="s">
        <v>20</v>
      </c>
    </row>
    <row r="4" spans="1:13" ht="15.75" x14ac:dyDescent="0.25">
      <c r="A4" s="13" t="s">
        <v>13</v>
      </c>
      <c r="B4" s="16">
        <v>210000</v>
      </c>
      <c r="C4" s="4">
        <v>90000</v>
      </c>
      <c r="D4" s="3">
        <v>100000</v>
      </c>
      <c r="E4" s="3">
        <v>80000</v>
      </c>
      <c r="F4" s="5"/>
      <c r="G4" s="20">
        <v>0.08</v>
      </c>
      <c r="H4" s="16">
        <v>3</v>
      </c>
      <c r="I4" s="19">
        <v>4</v>
      </c>
      <c r="J4" s="16">
        <v>2</v>
      </c>
      <c r="K4" s="23">
        <v>4</v>
      </c>
      <c r="M4" s="2" t="s">
        <v>19</v>
      </c>
    </row>
    <row r="5" spans="1:13" ht="15.75" x14ac:dyDescent="0.25">
      <c r="A5" s="13" t="s">
        <v>14</v>
      </c>
      <c r="B5" s="16">
        <v>170000</v>
      </c>
      <c r="C5" s="4">
        <v>30000</v>
      </c>
      <c r="D5" s="3">
        <v>40000</v>
      </c>
      <c r="E5" s="3">
        <v>50000</v>
      </c>
      <c r="F5" s="5">
        <v>60000</v>
      </c>
      <c r="G5" s="19">
        <v>0.11</v>
      </c>
      <c r="H5" s="16">
        <v>4</v>
      </c>
      <c r="I5" s="19">
        <v>1</v>
      </c>
      <c r="J5" s="16">
        <v>3</v>
      </c>
      <c r="K5" s="23">
        <v>2</v>
      </c>
      <c r="M5" s="2" t="s">
        <v>18</v>
      </c>
    </row>
    <row r="6" spans="1:13" ht="16.5" thickBot="1" x14ac:dyDescent="0.3">
      <c r="A6" s="14" t="s">
        <v>15</v>
      </c>
      <c r="B6" s="17">
        <v>115000</v>
      </c>
      <c r="C6" s="6">
        <v>50000</v>
      </c>
      <c r="D6" s="7">
        <v>55000</v>
      </c>
      <c r="E6" s="7">
        <v>45000</v>
      </c>
      <c r="F6" s="8"/>
      <c r="G6" s="21">
        <v>0.09</v>
      </c>
      <c r="H6" s="17">
        <v>3</v>
      </c>
      <c r="I6" s="21">
        <v>3</v>
      </c>
      <c r="J6" s="17">
        <v>4</v>
      </c>
      <c r="K6" s="24">
        <v>4</v>
      </c>
      <c r="M6" s="2" t="s">
        <v>17</v>
      </c>
    </row>
    <row r="8" spans="1:13" ht="15.75" x14ac:dyDescent="0.25">
      <c r="A8" s="29" t="s">
        <v>22</v>
      </c>
    </row>
    <row r="9" spans="1:13" ht="15.75" x14ac:dyDescent="0.25">
      <c r="A9" s="29" t="s">
        <v>23</v>
      </c>
    </row>
    <row r="11" spans="1:13" s="30" customFormat="1" ht="2.25" customHeight="1" x14ac:dyDescent="0.25"/>
    <row r="12" spans="1:13" x14ac:dyDescent="0.25">
      <c r="A12" s="34" t="s">
        <v>24</v>
      </c>
    </row>
    <row r="13" spans="1:13" ht="15.75" thickBot="1" x14ac:dyDescent="0.3"/>
    <row r="14" spans="1:13" ht="24.75" customHeight="1" thickBot="1" x14ac:dyDescent="0.3">
      <c r="A14" s="25" t="s">
        <v>4</v>
      </c>
      <c r="B14" s="26" t="s">
        <v>5</v>
      </c>
      <c r="C14" s="31" t="s">
        <v>33</v>
      </c>
      <c r="D14" s="32" t="s">
        <v>25</v>
      </c>
      <c r="E14" s="33" t="s">
        <v>26</v>
      </c>
    </row>
    <row r="15" spans="1:13" x14ac:dyDescent="0.25">
      <c r="A15" s="12" t="s">
        <v>11</v>
      </c>
      <c r="B15" s="12">
        <v>130000</v>
      </c>
      <c r="C15" s="35">
        <f>NPV(G2,C2:E2)-B2</f>
        <v>44830.9541697971</v>
      </c>
      <c r="D15" s="49">
        <f>(C15/B15)*100</f>
        <v>34.485349361382383</v>
      </c>
      <c r="E15" s="38" t="str">
        <f>IF(B15&lt;=190000,"да","нет")</f>
        <v>да</v>
      </c>
    </row>
    <row r="16" spans="1:13" x14ac:dyDescent="0.25">
      <c r="A16" s="13" t="s">
        <v>12</v>
      </c>
      <c r="B16" s="13">
        <v>95000</v>
      </c>
      <c r="C16" s="36">
        <f t="shared" ref="C16:C19" si="0">NPV(G3,C3:E3)-B3</f>
        <v>13626.13887411014</v>
      </c>
      <c r="D16" s="50">
        <f t="shared" ref="D16:D19" si="1">(C16/B16)*100</f>
        <v>14.343304078010673</v>
      </c>
      <c r="E16" s="23" t="str">
        <f t="shared" ref="E16:E19" si="2">IF(B16&lt;=190000,"да","нет")</f>
        <v>да</v>
      </c>
    </row>
    <row r="17" spans="1:8" x14ac:dyDescent="0.25">
      <c r="A17" s="13" t="s">
        <v>13</v>
      </c>
      <c r="B17" s="13">
        <v>210000</v>
      </c>
      <c r="C17" s="36">
        <f t="shared" si="0"/>
        <v>22573.794645125221</v>
      </c>
      <c r="D17" s="50">
        <f t="shared" si="1"/>
        <v>10.749426021488201</v>
      </c>
      <c r="E17" s="23" t="str">
        <f t="shared" si="2"/>
        <v>нет</v>
      </c>
    </row>
    <row r="18" spans="1:8" x14ac:dyDescent="0.25">
      <c r="A18" s="13" t="s">
        <v>14</v>
      </c>
      <c r="B18" s="13">
        <v>170000</v>
      </c>
      <c r="C18" s="36">
        <f>NPV(G5,C5:F5)-B5</f>
        <v>-34424.648129463254</v>
      </c>
      <c r="D18" s="52">
        <f t="shared" si="1"/>
        <v>-20.249793017331324</v>
      </c>
      <c r="E18" s="23" t="str">
        <f t="shared" si="2"/>
        <v>да</v>
      </c>
    </row>
    <row r="19" spans="1:8" ht="15.75" thickBot="1" x14ac:dyDescent="0.3">
      <c r="A19" s="14" t="s">
        <v>15</v>
      </c>
      <c r="B19" s="14">
        <v>115000</v>
      </c>
      <c r="C19" s="37">
        <f t="shared" si="0"/>
        <v>11912.215865436199</v>
      </c>
      <c r="D19" s="51">
        <f t="shared" si="1"/>
        <v>10.358448578640173</v>
      </c>
      <c r="E19" s="24" t="str">
        <f t="shared" si="2"/>
        <v>да</v>
      </c>
    </row>
    <row r="21" spans="1:8" s="30" customFormat="1" ht="2.25" customHeight="1" x14ac:dyDescent="0.25"/>
    <row r="23" spans="1:8" x14ac:dyDescent="0.25">
      <c r="A23" s="34" t="s">
        <v>27</v>
      </c>
    </row>
    <row r="24" spans="1:8" ht="15.75" thickBot="1" x14ac:dyDescent="0.3"/>
    <row r="25" spans="1:8" ht="22.5" customHeight="1" thickBot="1" x14ac:dyDescent="0.3">
      <c r="A25" s="31" t="s">
        <v>4</v>
      </c>
      <c r="B25" s="32" t="s">
        <v>28</v>
      </c>
      <c r="C25" s="31" t="s">
        <v>29</v>
      </c>
      <c r="D25" s="32" t="s">
        <v>9</v>
      </c>
      <c r="E25" s="33" t="s">
        <v>30</v>
      </c>
      <c r="F25" s="32" t="s">
        <v>10</v>
      </c>
      <c r="G25" s="33" t="s">
        <v>16</v>
      </c>
      <c r="H25" s="33" t="s">
        <v>31</v>
      </c>
    </row>
    <row r="26" spans="1:8" x14ac:dyDescent="0.25">
      <c r="A26" s="43" t="s">
        <v>11</v>
      </c>
      <c r="B26" s="46">
        <f>(C15-MIN($C$15:$C$19))/(MAX($C$15:$C$19)-MIN($C$15:$C$19))*4+1</f>
        <v>5</v>
      </c>
      <c r="C26" s="46">
        <f>(D15-MIN($D$15:$D$19))/(MAX($D$15:$D$19)-MIN($D$15:$D$19))*4+1</f>
        <v>5</v>
      </c>
      <c r="D26" s="39">
        <v>3</v>
      </c>
      <c r="E26" s="49">
        <f>(MAX($I$2:$I$6)-D26)/(MAX($I$2:$I$6)-MIN($I$2:$I$6))*4+1</f>
        <v>2.333333333333333</v>
      </c>
      <c r="F26" s="38">
        <v>4</v>
      </c>
      <c r="G26" s="38">
        <v>5</v>
      </c>
      <c r="H26" s="44">
        <f>B26*0.45+C26*0.25+E26*0.15+F26*0.1+G26*0.05</f>
        <v>4.5</v>
      </c>
    </row>
    <row r="27" spans="1:8" x14ac:dyDescent="0.25">
      <c r="A27" s="13" t="s">
        <v>12</v>
      </c>
      <c r="B27" s="47">
        <f t="shared" ref="B27" si="3">(C16-MIN($C$15:$C$19))/(MAX($C$15:$C$19)-MIN($C$15:$C$19))*4+1</f>
        <v>3.4251048814007601</v>
      </c>
      <c r="C27" s="47">
        <f t="shared" ref="C27" si="4">(D16-MIN($D$15:$D$19))/(MAX($D$15:$D$19)-MIN($D$15:$D$19))*4+1</f>
        <v>3.5280355977511899</v>
      </c>
      <c r="D27" s="40">
        <v>2</v>
      </c>
      <c r="E27" s="50">
        <f t="shared" ref="E27:E29" si="5">(MAX($I$2:$I$6)-D27)/(MAX($I$2:$I$6)-MIN($I$2:$I$6))*4+1</f>
        <v>3.6666666666666665</v>
      </c>
      <c r="F27" s="23">
        <v>5</v>
      </c>
      <c r="G27" s="23">
        <v>3</v>
      </c>
      <c r="H27" s="42">
        <f t="shared" ref="H27:H29" si="6">B27*0.45+C27*0.25+E27*0.15+F27*0.1+G27*0.05</f>
        <v>3.6233060960681391</v>
      </c>
    </row>
    <row r="28" spans="1:8" x14ac:dyDescent="0.25">
      <c r="A28" s="13" t="s">
        <v>14</v>
      </c>
      <c r="B28" s="47">
        <f>(C18-MIN($C$15:$C$19))/(MAX($C$15:$C$19)-MIN($C$15:$C$19))*4+1</f>
        <v>1</v>
      </c>
      <c r="C28" s="47">
        <f>(D18-MIN($D$15:$D$19))/(MAX($D$15:$D$19)-MIN($D$15:$D$19))*4+1</f>
        <v>1</v>
      </c>
      <c r="D28" s="40">
        <v>1</v>
      </c>
      <c r="E28" s="50">
        <f t="shared" si="5"/>
        <v>5</v>
      </c>
      <c r="F28" s="23">
        <v>3</v>
      </c>
      <c r="G28" s="23">
        <v>2</v>
      </c>
      <c r="H28" s="42">
        <f t="shared" si="6"/>
        <v>1.85</v>
      </c>
    </row>
    <row r="29" spans="1:8" ht="15.75" thickBot="1" x14ac:dyDescent="0.3">
      <c r="A29" s="14" t="s">
        <v>15</v>
      </c>
      <c r="B29" s="48">
        <f>(C19-MIN($C$15:$C$19))/(MAX($C$15:$C$19)-MIN($C$15:$C$19))*4+1</f>
        <v>3.338603841274796</v>
      </c>
      <c r="C29" s="48">
        <f>(D19-MIN($D$15:$D$19))/(MAX($D$15:$D$19)-MIN($D$15:$D$19))*4+1</f>
        <v>3.2368255760945956</v>
      </c>
      <c r="D29" s="41">
        <v>3</v>
      </c>
      <c r="E29" s="51">
        <f t="shared" si="5"/>
        <v>2.333333333333333</v>
      </c>
      <c r="F29" s="24">
        <v>4</v>
      </c>
      <c r="G29" s="24">
        <v>4</v>
      </c>
      <c r="H29" s="45">
        <f t="shared" si="6"/>
        <v>3.2615781225973075</v>
      </c>
    </row>
    <row r="32" spans="1:8" s="30" customFormat="1" ht="2.25" customHeight="1" x14ac:dyDescent="0.25"/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FD361-0059-4E8A-AF15-6CF3CCEEC2E5}">
  <dimension ref="B2:J44"/>
  <sheetViews>
    <sheetView tabSelected="1" topLeftCell="A16" workbookViewId="0">
      <selection activeCell="D41" sqref="D41"/>
    </sheetView>
  </sheetViews>
  <sheetFormatPr defaultRowHeight="15" x14ac:dyDescent="0.25"/>
  <cols>
    <col min="2" max="2" width="23.5703125" customWidth="1"/>
    <col min="3" max="3" width="33.85546875" customWidth="1"/>
    <col min="4" max="4" width="23.5703125" customWidth="1"/>
    <col min="5" max="5" width="21.7109375" customWidth="1"/>
    <col min="6" max="6" width="30.28515625" customWidth="1"/>
    <col min="7" max="7" width="26" customWidth="1"/>
    <col min="8" max="8" width="23" customWidth="1"/>
    <col min="9" max="9" width="17.42578125" customWidth="1"/>
    <col min="10" max="10" width="22.140625" customWidth="1"/>
  </cols>
  <sheetData>
    <row r="2" spans="2:10" x14ac:dyDescent="0.25">
      <c r="B2" s="34" t="s">
        <v>35</v>
      </c>
      <c r="C2" t="s">
        <v>38</v>
      </c>
    </row>
    <row r="3" spans="2:10" x14ac:dyDescent="0.25">
      <c r="B3" s="34" t="s">
        <v>36</v>
      </c>
      <c r="C3" t="s">
        <v>39</v>
      </c>
    </row>
    <row r="4" spans="2:10" x14ac:dyDescent="0.25">
      <c r="B4" s="34" t="s">
        <v>37</v>
      </c>
      <c r="C4" t="s">
        <v>56</v>
      </c>
    </row>
    <row r="5" spans="2:10" ht="15.75" thickBot="1" x14ac:dyDescent="0.3"/>
    <row r="6" spans="2:10" s="66" customFormat="1" ht="19.5" customHeight="1" thickBot="1" x14ac:dyDescent="0.3">
      <c r="B6" s="109" t="s">
        <v>40</v>
      </c>
      <c r="C6" s="110" t="s">
        <v>47</v>
      </c>
      <c r="D6" s="110" t="s">
        <v>48</v>
      </c>
      <c r="E6" s="111" t="s">
        <v>49</v>
      </c>
    </row>
    <row r="7" spans="2:10" x14ac:dyDescent="0.25">
      <c r="B7" s="93" t="s">
        <v>41</v>
      </c>
      <c r="C7" s="80" t="s">
        <v>50</v>
      </c>
      <c r="D7" s="80" t="s">
        <v>52</v>
      </c>
      <c r="E7" s="94">
        <v>0.3</v>
      </c>
    </row>
    <row r="8" spans="2:10" x14ac:dyDescent="0.25">
      <c r="B8" s="91" t="s">
        <v>44</v>
      </c>
      <c r="C8" s="74" t="s">
        <v>50</v>
      </c>
      <c r="D8" s="74" t="s">
        <v>52</v>
      </c>
      <c r="E8" s="92">
        <v>0.2</v>
      </c>
    </row>
    <row r="9" spans="2:10" x14ac:dyDescent="0.25">
      <c r="B9" s="91" t="s">
        <v>63</v>
      </c>
      <c r="C9" s="74" t="s">
        <v>55</v>
      </c>
      <c r="D9" s="74" t="s">
        <v>52</v>
      </c>
      <c r="E9" s="92">
        <v>0.1</v>
      </c>
    </row>
    <row r="10" spans="2:10" x14ac:dyDescent="0.25">
      <c r="B10" s="57" t="s">
        <v>45</v>
      </c>
      <c r="C10" s="56" t="s">
        <v>51</v>
      </c>
      <c r="D10" s="56" t="s">
        <v>53</v>
      </c>
      <c r="E10" s="58">
        <v>0.1</v>
      </c>
    </row>
    <row r="11" spans="2:10" x14ac:dyDescent="0.25">
      <c r="B11" s="91" t="s">
        <v>42</v>
      </c>
      <c r="C11" s="74" t="s">
        <v>43</v>
      </c>
      <c r="D11" s="74" t="s">
        <v>53</v>
      </c>
      <c r="E11" s="92">
        <v>0.2</v>
      </c>
    </row>
    <row r="12" spans="2:10" ht="15.75" thickBot="1" x14ac:dyDescent="0.3">
      <c r="B12" s="95" t="s">
        <v>46</v>
      </c>
      <c r="C12" s="96" t="s">
        <v>43</v>
      </c>
      <c r="D12" s="96" t="s">
        <v>53</v>
      </c>
      <c r="E12" s="97">
        <v>0.1</v>
      </c>
    </row>
    <row r="13" spans="2:10" ht="15.75" thickBot="1" x14ac:dyDescent="0.3">
      <c r="B13" s="98" t="s">
        <v>54</v>
      </c>
      <c r="C13" s="99"/>
      <c r="D13" s="100"/>
      <c r="E13" s="101">
        <f>SUM(E7:E12)</f>
        <v>0.99999999999999989</v>
      </c>
    </row>
    <row r="15" spans="2:10" ht="15.75" thickBot="1" x14ac:dyDescent="0.3"/>
    <row r="16" spans="2:10" s="65" customFormat="1" ht="19.5" customHeight="1" x14ac:dyDescent="0.25">
      <c r="B16" s="105" t="s">
        <v>57</v>
      </c>
      <c r="C16" s="106" t="s">
        <v>58</v>
      </c>
      <c r="D16" s="106" t="s">
        <v>59</v>
      </c>
      <c r="E16" s="106" t="s">
        <v>60</v>
      </c>
      <c r="F16" s="106" t="s">
        <v>61</v>
      </c>
      <c r="G16" s="106" t="s">
        <v>45</v>
      </c>
      <c r="H16" s="106" t="s">
        <v>62</v>
      </c>
      <c r="I16" s="107" t="s">
        <v>64</v>
      </c>
      <c r="J16" s="108" t="s">
        <v>26</v>
      </c>
    </row>
    <row r="17" spans="2:10" ht="15.75" x14ac:dyDescent="0.25">
      <c r="B17" s="61">
        <v>1</v>
      </c>
      <c r="C17" s="56" t="s">
        <v>65</v>
      </c>
      <c r="D17" s="56">
        <v>35000</v>
      </c>
      <c r="E17" s="56">
        <v>4500</v>
      </c>
      <c r="F17" s="56">
        <v>0</v>
      </c>
      <c r="G17" s="56">
        <v>120</v>
      </c>
      <c r="H17" s="56">
        <v>3</v>
      </c>
      <c r="I17" s="63">
        <v>5</v>
      </c>
      <c r="J17" s="70" t="s">
        <v>73</v>
      </c>
    </row>
    <row r="18" spans="2:10" ht="15.75" x14ac:dyDescent="0.25">
      <c r="B18" s="61">
        <v>2</v>
      </c>
      <c r="C18" s="56" t="s">
        <v>66</v>
      </c>
      <c r="D18" s="56">
        <v>45000</v>
      </c>
      <c r="E18" s="56">
        <v>3500</v>
      </c>
      <c r="F18" s="56">
        <v>3</v>
      </c>
      <c r="G18" s="56">
        <v>90</v>
      </c>
      <c r="H18" s="56">
        <v>3</v>
      </c>
      <c r="I18" s="63">
        <v>4</v>
      </c>
      <c r="J18" s="70" t="s">
        <v>73</v>
      </c>
    </row>
    <row r="19" spans="2:10" ht="15.75" x14ac:dyDescent="0.25">
      <c r="B19" s="61">
        <v>3</v>
      </c>
      <c r="C19" s="56" t="s">
        <v>67</v>
      </c>
      <c r="D19" s="56">
        <v>55000</v>
      </c>
      <c r="E19" s="56">
        <v>7500</v>
      </c>
      <c r="F19" s="56">
        <v>4</v>
      </c>
      <c r="G19" s="56">
        <v>70</v>
      </c>
      <c r="H19" s="56">
        <v>5</v>
      </c>
      <c r="I19" s="63">
        <v>5</v>
      </c>
      <c r="J19" s="70" t="s">
        <v>73</v>
      </c>
    </row>
    <row r="20" spans="2:10" ht="15.75" x14ac:dyDescent="0.25">
      <c r="B20" s="67">
        <v>4</v>
      </c>
      <c r="C20" s="68" t="s">
        <v>68</v>
      </c>
      <c r="D20" s="68">
        <v>65000</v>
      </c>
      <c r="E20" s="68">
        <v>3000</v>
      </c>
      <c r="F20" s="68">
        <v>0</v>
      </c>
      <c r="G20" s="68">
        <v>150</v>
      </c>
      <c r="H20" s="68">
        <v>4</v>
      </c>
      <c r="I20" s="69">
        <v>3</v>
      </c>
      <c r="J20" s="104" t="s">
        <v>72</v>
      </c>
    </row>
    <row r="21" spans="2:10" ht="15.75" x14ac:dyDescent="0.25">
      <c r="B21" s="61">
        <v>5</v>
      </c>
      <c r="C21" s="56" t="s">
        <v>69</v>
      </c>
      <c r="D21" s="56">
        <v>25000</v>
      </c>
      <c r="E21" s="56">
        <v>4000</v>
      </c>
      <c r="F21" s="56">
        <v>0</v>
      </c>
      <c r="G21" s="56">
        <v>60</v>
      </c>
      <c r="H21" s="56">
        <v>4</v>
      </c>
      <c r="I21" s="63">
        <v>4</v>
      </c>
      <c r="J21" s="70" t="s">
        <v>73</v>
      </c>
    </row>
    <row r="22" spans="2:10" ht="15.75" x14ac:dyDescent="0.25">
      <c r="B22" s="61">
        <v>6</v>
      </c>
      <c r="C22" s="56" t="s">
        <v>70</v>
      </c>
      <c r="D22" s="56">
        <v>30000</v>
      </c>
      <c r="E22" s="56">
        <v>3800</v>
      </c>
      <c r="F22" s="56">
        <v>0</v>
      </c>
      <c r="G22" s="56">
        <v>80</v>
      </c>
      <c r="H22" s="56">
        <v>5</v>
      </c>
      <c r="I22" s="63">
        <v>4</v>
      </c>
      <c r="J22" s="70" t="s">
        <v>73</v>
      </c>
    </row>
    <row r="23" spans="2:10" ht="16.5" thickBot="1" x14ac:dyDescent="0.3">
      <c r="B23" s="62">
        <v>7</v>
      </c>
      <c r="C23" s="59" t="s">
        <v>71</v>
      </c>
      <c r="D23" s="59">
        <v>40000</v>
      </c>
      <c r="E23" s="59">
        <v>4200</v>
      </c>
      <c r="F23" s="59">
        <v>0</v>
      </c>
      <c r="G23" s="59">
        <v>50</v>
      </c>
      <c r="H23" s="59">
        <v>4</v>
      </c>
      <c r="I23" s="64">
        <v>3</v>
      </c>
      <c r="J23" s="71" t="s">
        <v>73</v>
      </c>
    </row>
    <row r="26" spans="2:10" ht="15.75" thickBot="1" x14ac:dyDescent="0.3"/>
    <row r="27" spans="2:10" ht="15.75" x14ac:dyDescent="0.25">
      <c r="B27" s="105" t="s">
        <v>57</v>
      </c>
      <c r="C27" s="106" t="s">
        <v>58</v>
      </c>
      <c r="D27" s="106" t="s">
        <v>59</v>
      </c>
      <c r="E27" s="106" t="s">
        <v>60</v>
      </c>
      <c r="F27" s="106" t="s">
        <v>61</v>
      </c>
      <c r="G27" s="106" t="s">
        <v>45</v>
      </c>
      <c r="H27" s="106" t="s">
        <v>62</v>
      </c>
      <c r="I27" s="112" t="s">
        <v>64</v>
      </c>
    </row>
    <row r="28" spans="2:10" ht="15.75" x14ac:dyDescent="0.25">
      <c r="B28" s="61">
        <v>1</v>
      </c>
      <c r="C28" s="56" t="s">
        <v>65</v>
      </c>
      <c r="D28" s="56">
        <v>35000</v>
      </c>
      <c r="E28" s="56">
        <v>4500</v>
      </c>
      <c r="F28" s="56">
        <v>0</v>
      </c>
      <c r="G28" s="56">
        <v>120</v>
      </c>
      <c r="H28" s="56">
        <v>3</v>
      </c>
      <c r="I28" s="58">
        <v>5</v>
      </c>
    </row>
    <row r="29" spans="2:10" ht="15.75" x14ac:dyDescent="0.25">
      <c r="B29" s="61">
        <v>2</v>
      </c>
      <c r="C29" s="56" t="s">
        <v>66</v>
      </c>
      <c r="D29" s="56">
        <v>45000</v>
      </c>
      <c r="E29" s="56">
        <v>3500</v>
      </c>
      <c r="F29" s="56">
        <v>3</v>
      </c>
      <c r="G29" s="56">
        <v>90</v>
      </c>
      <c r="H29" s="56">
        <v>3</v>
      </c>
      <c r="I29" s="58">
        <v>4</v>
      </c>
    </row>
    <row r="30" spans="2:10" ht="15.75" x14ac:dyDescent="0.25">
      <c r="B30" s="61">
        <v>3</v>
      </c>
      <c r="C30" s="56" t="s">
        <v>67</v>
      </c>
      <c r="D30" s="56">
        <v>55000</v>
      </c>
      <c r="E30" s="56">
        <v>7500</v>
      </c>
      <c r="F30" s="56">
        <v>4</v>
      </c>
      <c r="G30" s="56">
        <v>70</v>
      </c>
      <c r="H30" s="56">
        <v>5</v>
      </c>
      <c r="I30" s="58">
        <v>5</v>
      </c>
    </row>
    <row r="31" spans="2:10" ht="15.75" x14ac:dyDescent="0.25">
      <c r="B31" s="61">
        <v>5</v>
      </c>
      <c r="C31" s="56" t="s">
        <v>69</v>
      </c>
      <c r="D31" s="56">
        <v>25000</v>
      </c>
      <c r="E31" s="56">
        <v>4000</v>
      </c>
      <c r="F31" s="56">
        <v>0</v>
      </c>
      <c r="G31" s="56">
        <v>60</v>
      </c>
      <c r="H31" s="56">
        <v>4</v>
      </c>
      <c r="I31" s="58">
        <v>4</v>
      </c>
    </row>
    <row r="32" spans="2:10" ht="15.75" x14ac:dyDescent="0.25">
      <c r="B32" s="61">
        <v>6</v>
      </c>
      <c r="C32" s="56" t="s">
        <v>70</v>
      </c>
      <c r="D32" s="56">
        <v>30000</v>
      </c>
      <c r="E32" s="56">
        <v>3800</v>
      </c>
      <c r="F32" s="56">
        <v>0</v>
      </c>
      <c r="G32" s="56">
        <v>80</v>
      </c>
      <c r="H32" s="56">
        <v>5</v>
      </c>
      <c r="I32" s="58">
        <v>4</v>
      </c>
    </row>
    <row r="33" spans="2:10" ht="16.5" thickBot="1" x14ac:dyDescent="0.3">
      <c r="B33" s="62">
        <v>7</v>
      </c>
      <c r="C33" s="59" t="s">
        <v>71</v>
      </c>
      <c r="D33" s="59">
        <v>40000</v>
      </c>
      <c r="E33" s="59">
        <v>4200</v>
      </c>
      <c r="F33" s="59">
        <v>0</v>
      </c>
      <c r="G33" s="59">
        <v>50</v>
      </c>
      <c r="H33" s="59">
        <v>4</v>
      </c>
      <c r="I33" s="60">
        <v>3</v>
      </c>
    </row>
    <row r="34" spans="2:10" x14ac:dyDescent="0.25">
      <c r="D34" t="s">
        <v>74</v>
      </c>
      <c r="E34" t="s">
        <v>74</v>
      </c>
      <c r="F34" t="s">
        <v>74</v>
      </c>
      <c r="G34" t="s">
        <v>75</v>
      </c>
    </row>
    <row r="35" spans="2:10" ht="15.75" thickBot="1" x14ac:dyDescent="0.3"/>
    <row r="36" spans="2:10" ht="15.75" thickBot="1" x14ac:dyDescent="0.3">
      <c r="B36" s="75" t="s">
        <v>76</v>
      </c>
      <c r="C36" s="76"/>
      <c r="D36" s="77">
        <v>0.3</v>
      </c>
      <c r="E36" s="77">
        <v>0.2</v>
      </c>
      <c r="F36" s="77">
        <v>0.1</v>
      </c>
      <c r="G36" s="77">
        <v>0.1</v>
      </c>
      <c r="H36" s="77">
        <v>0.2</v>
      </c>
      <c r="I36" s="78">
        <v>0.1</v>
      </c>
      <c r="J36" s="116" t="s">
        <v>31</v>
      </c>
    </row>
    <row r="37" spans="2:10" ht="21.75" customHeight="1" thickBot="1" x14ac:dyDescent="0.3">
      <c r="B37" s="113" t="s">
        <v>57</v>
      </c>
      <c r="C37" s="114" t="s">
        <v>58</v>
      </c>
      <c r="D37" s="114" t="s">
        <v>59</v>
      </c>
      <c r="E37" s="114" t="s">
        <v>60</v>
      </c>
      <c r="F37" s="114" t="s">
        <v>61</v>
      </c>
      <c r="G37" s="114" t="s">
        <v>45</v>
      </c>
      <c r="H37" s="114" t="s">
        <v>62</v>
      </c>
      <c r="I37" s="115" t="s">
        <v>64</v>
      </c>
      <c r="J37" s="117"/>
    </row>
    <row r="38" spans="2:10" ht="15.75" x14ac:dyDescent="0.25">
      <c r="B38" s="79">
        <v>1</v>
      </c>
      <c r="C38" s="80" t="s">
        <v>65</v>
      </c>
      <c r="D38" s="81">
        <f>(MAX(Цена_билета__руб)-D28)/(MAX(Цена_билета__руб))*4+1</f>
        <v>2.4545454545454546</v>
      </c>
      <c r="E38" s="81">
        <f>(MAX(Цена_жилья__руб)-E28)/(MAX(Цена_жилья__руб))*4+1</f>
        <v>2.6</v>
      </c>
      <c r="F38" s="80">
        <f>(MAX(Оформление_визы__дней)-F28)/(MAX(Оформление_визы__дней))*4+1</f>
        <v>5</v>
      </c>
      <c r="G38" s="81">
        <f>(G28-MIN(Количество_экскурсий))/(MAX(Количество_экскурсий)-MIN(Количество_экскурсий))*4+1</f>
        <v>5</v>
      </c>
      <c r="H38" s="80">
        <v>3</v>
      </c>
      <c r="I38" s="82">
        <v>5</v>
      </c>
      <c r="J38" s="83">
        <f>D38*$D$36+E38*$E$36+F38*$F$36+G38*$G$36+H38*$H$36+I38*$I$36</f>
        <v>3.3563636363636364</v>
      </c>
    </row>
    <row r="39" spans="2:10" ht="15.75" x14ac:dyDescent="0.25">
      <c r="B39" s="61">
        <v>2</v>
      </c>
      <c r="C39" s="56" t="s">
        <v>66</v>
      </c>
      <c r="D39" s="72">
        <f>(MAX(Цена_билета__руб)-D29)/(MAX(Цена_билета__руб))*4+1</f>
        <v>1.7272727272727273</v>
      </c>
      <c r="E39" s="72">
        <f>(MAX(Цена_жилья__руб)-E29)/(MAX(Цена_жилья__руб))*4+1</f>
        <v>3.1333333333333333</v>
      </c>
      <c r="F39" s="56">
        <f>(MAX(Оформление_визы__дней)-F29)/(MAX(Оформление_визы__дней))*4+1</f>
        <v>2</v>
      </c>
      <c r="G39" s="72">
        <f>(G29-MIN(Количество_экскурсий))/(MAX(Количество_экскурсий)-MIN(Количество_экскурсий))*4+1</f>
        <v>3.2857142857142856</v>
      </c>
      <c r="H39" s="56">
        <v>3</v>
      </c>
      <c r="I39" s="63">
        <v>4</v>
      </c>
      <c r="J39" s="84">
        <f t="shared" ref="J39:J43" si="0">D39*$D$36+E39*$E$36+F39*$F$36+G39*$G$36+H39*$H$36+I39*$I$36</f>
        <v>2.6734199134199135</v>
      </c>
    </row>
    <row r="40" spans="2:10" ht="15.75" x14ac:dyDescent="0.25">
      <c r="B40" s="61">
        <v>3</v>
      </c>
      <c r="C40" s="56" t="s">
        <v>67</v>
      </c>
      <c r="D40" s="72">
        <f>(MAX(Цена_билета__руб)-D30)/(MAX(Цена_билета__руб))*4+1</f>
        <v>1</v>
      </c>
      <c r="E40" s="72">
        <f>(MAX(Цена_жилья__руб)-E30)/(MAX(Цена_жилья__руб))*4+1</f>
        <v>1</v>
      </c>
      <c r="F40" s="56">
        <f>(MAX(Оформление_визы__дней)-F30)/(MAX(Оформление_визы__дней))*4+1</f>
        <v>1</v>
      </c>
      <c r="G40" s="72">
        <f>(G30-MIN(Количество_экскурсий))/(MAX(Количество_экскурсий)-MIN(Количество_экскурсий))*4+1</f>
        <v>2.1428571428571428</v>
      </c>
      <c r="H40" s="56">
        <v>5</v>
      </c>
      <c r="I40" s="63">
        <v>5</v>
      </c>
      <c r="J40" s="84">
        <f t="shared" si="0"/>
        <v>2.3142857142857141</v>
      </c>
    </row>
    <row r="41" spans="2:10" ht="15.75" x14ac:dyDescent="0.25">
      <c r="B41" s="61">
        <v>5</v>
      </c>
      <c r="C41" s="56" t="s">
        <v>69</v>
      </c>
      <c r="D41" s="72">
        <f>(MAX(Цена_билета__руб)-D31)/(MAX(Цена_билета__руб))*4+1</f>
        <v>3.1818181818181817</v>
      </c>
      <c r="E41" s="72">
        <f>(MAX(Цена_жилья__руб)-E31)/(MAX(Цена_жилья__руб))*4+1</f>
        <v>2.8666666666666667</v>
      </c>
      <c r="F41" s="56">
        <f>(MAX(Оформление_визы__дней)-F31)/(MAX(Оформление_визы__дней))*4+1</f>
        <v>5</v>
      </c>
      <c r="G41" s="72">
        <f>(G31-MIN(Количество_экскурсий))/(MAX(Количество_экскурсий)-MIN(Количество_экскурсий))*4+1</f>
        <v>1.5714285714285714</v>
      </c>
      <c r="H41" s="56">
        <v>4</v>
      </c>
      <c r="I41" s="63">
        <v>4</v>
      </c>
      <c r="J41" s="84">
        <f t="shared" si="0"/>
        <v>3.3850216450216446</v>
      </c>
    </row>
    <row r="42" spans="2:10" ht="15.75" x14ac:dyDescent="0.25">
      <c r="B42" s="86">
        <v>6</v>
      </c>
      <c r="C42" s="87" t="s">
        <v>70</v>
      </c>
      <c r="D42" s="88">
        <f>(MAX(Цена_билета__руб)-D32)/(MAX(Цена_билета__руб))*4+1</f>
        <v>2.8181818181818183</v>
      </c>
      <c r="E42" s="88">
        <f>(MAX(Цена_жилья__руб)-E32)/(MAX(Цена_жилья__руб))*4+1</f>
        <v>2.9733333333333336</v>
      </c>
      <c r="F42" s="87">
        <f>(MAX(Оформление_визы__дней)-F32)/(MAX(Оформление_визы__дней))*4+1</f>
        <v>5</v>
      </c>
      <c r="G42" s="88">
        <f>(G32-MIN(Количество_экскурсий))/(MAX(Количество_экскурсий)-MIN(Количество_экскурсий))*4+1</f>
        <v>2.7142857142857144</v>
      </c>
      <c r="H42" s="87">
        <v>5</v>
      </c>
      <c r="I42" s="89">
        <v>4</v>
      </c>
      <c r="J42" s="90">
        <f t="shared" si="0"/>
        <v>3.6115497835497834</v>
      </c>
    </row>
    <row r="43" spans="2:10" ht="16.5" thickBot="1" x14ac:dyDescent="0.3">
      <c r="B43" s="62">
        <v>7</v>
      </c>
      <c r="C43" s="59" t="s">
        <v>71</v>
      </c>
      <c r="D43" s="73">
        <f>(MAX(Цена_билета__руб)-D33)/(MAX(Цена_билета__руб))*4+1</f>
        <v>2.0909090909090908</v>
      </c>
      <c r="E43" s="73">
        <f>(MAX(Цена_жилья__руб)-E33)/(MAX(Цена_жилья__руб))*4+1</f>
        <v>2.76</v>
      </c>
      <c r="F43" s="59">
        <f>(MAX(Оформление_визы__дней)-F33)/(MAX(Оформление_визы__дней))*4+1</f>
        <v>5</v>
      </c>
      <c r="G43" s="73">
        <f>(G33-MIN(Количество_экскурсий))/(MAX(Количество_экскурсий)-MIN(Количество_экскурсий))*4+1</f>
        <v>1</v>
      </c>
      <c r="H43" s="59">
        <v>4</v>
      </c>
      <c r="I43" s="64">
        <v>3</v>
      </c>
      <c r="J43" s="85">
        <f t="shared" si="0"/>
        <v>2.8792727272727268</v>
      </c>
    </row>
    <row r="44" spans="2:10" x14ac:dyDescent="0.25">
      <c r="D44" t="s">
        <v>74</v>
      </c>
      <c r="E44" t="s">
        <v>74</v>
      </c>
      <c r="F44" t="s">
        <v>74</v>
      </c>
      <c r="G44" t="s">
        <v>75</v>
      </c>
    </row>
  </sheetData>
  <mergeCells count="3">
    <mergeCell ref="C13:D13"/>
    <mergeCell ref="J36:J37"/>
    <mergeCell ref="B36:C3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01C69-4846-4104-A8D7-E5FFB0557383}">
  <dimension ref="J28:K30"/>
  <sheetViews>
    <sheetView zoomScale="85" zoomScaleNormal="85" workbookViewId="0">
      <selection activeCell="K31" sqref="K31"/>
    </sheetView>
  </sheetViews>
  <sheetFormatPr defaultRowHeight="15" x14ac:dyDescent="0.25"/>
  <sheetData>
    <row r="28" spans="10:11" ht="18.75" x14ac:dyDescent="0.3">
      <c r="J28" s="102" t="s">
        <v>77</v>
      </c>
      <c r="K28" s="103" t="s">
        <v>78</v>
      </c>
    </row>
    <row r="29" spans="10:11" ht="18.75" x14ac:dyDescent="0.3">
      <c r="J29" s="103"/>
      <c r="K29" s="103" t="s">
        <v>79</v>
      </c>
    </row>
    <row r="30" spans="10:11" ht="18.75" x14ac:dyDescent="0.3">
      <c r="J30" s="103"/>
      <c r="K30" s="103" t="s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4</vt:i4>
      </vt:variant>
    </vt:vector>
  </HeadingPairs>
  <TitlesOfParts>
    <vt:vector size="10" baseType="lpstr">
      <vt:lpstr>Лист1</vt:lpstr>
      <vt:lpstr>Лист2</vt:lpstr>
      <vt:lpstr>Лист3</vt:lpstr>
      <vt:lpstr>Лист4</vt:lpstr>
      <vt:lpstr>Лист5</vt:lpstr>
      <vt:lpstr>Лист6</vt:lpstr>
      <vt:lpstr>Количество_экскурсий</vt:lpstr>
      <vt:lpstr>Оформление_визы__дней</vt:lpstr>
      <vt:lpstr>Цена_билета__руб</vt:lpstr>
      <vt:lpstr>Цена_жилья__руб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2015-06-05T18:19:34Z</dcterms:created>
  <dcterms:modified xsi:type="dcterms:W3CDTF">2026-09-15T13:32:17Z</dcterms:modified>
</cp:coreProperties>
</file>