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Files\University_Files\7th Term\Decision Support Systems\Lab1\"/>
    </mc:Choice>
  </mc:AlternateContent>
  <xr:revisionPtr revIDLastSave="0" documentId="13_ncr:1_{8486A3BF-CD87-430D-9C01-8C976B351D6C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Лист1" sheetId="1" r:id="rId1"/>
    <sheet name="Лист2" sheetId="2" r:id="rId2"/>
    <sheet name="Лист3" sheetId="3" r:id="rId3"/>
    <sheet name="Лист 4" sheetId="4" r:id="rId4"/>
    <sheet name="Лист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7" i="2" l="1"/>
  <c r="H28" i="2"/>
  <c r="H29" i="2"/>
  <c r="H26" i="2"/>
  <c r="E27" i="2"/>
  <c r="E28" i="2"/>
  <c r="E29" i="2"/>
  <c r="E26" i="2"/>
  <c r="C29" i="2"/>
  <c r="C28" i="2"/>
  <c r="C27" i="2"/>
  <c r="C26" i="2"/>
  <c r="B29" i="2"/>
  <c r="B28" i="2"/>
  <c r="B27" i="2"/>
  <c r="B26" i="2"/>
  <c r="C18" i="2"/>
  <c r="D18" i="2" s="1"/>
  <c r="E16" i="2"/>
  <c r="E17" i="2"/>
  <c r="E18" i="2"/>
  <c r="E19" i="2"/>
  <c r="E15" i="2"/>
  <c r="C16" i="2"/>
  <c r="D16" i="2" s="1"/>
  <c r="C17" i="2"/>
  <c r="D17" i="2" s="1"/>
  <c r="C19" i="2"/>
  <c r="D19" i="2" s="1"/>
  <c r="C15" i="2"/>
  <c r="D15" i="2" s="1"/>
</calcChain>
</file>

<file path=xl/sharedStrings.xml><?xml version="1.0" encoding="utf-8"?>
<sst xmlns="http://schemas.openxmlformats.org/spreadsheetml/2006/main" count="91" uniqueCount="55">
  <si>
    <t>Ольховский</t>
  </si>
  <si>
    <t>ИТА-123</t>
  </si>
  <si>
    <t>ЛР1</t>
  </si>
  <si>
    <t>3 вариант</t>
  </si>
  <si>
    <t>Проект</t>
  </si>
  <si>
    <t>Инвестиции, руб</t>
  </si>
  <si>
    <t>Потоки, руб</t>
  </si>
  <si>
    <t>Ставка</t>
  </si>
  <si>
    <t>Горизонт, лет</t>
  </si>
  <si>
    <t>Риск</t>
  </si>
  <si>
    <t>Простота</t>
  </si>
  <si>
    <t>А1</t>
  </si>
  <si>
    <t>А2</t>
  </si>
  <si>
    <t>А3</t>
  </si>
  <si>
    <t>А4</t>
  </si>
  <si>
    <t>А5</t>
  </si>
  <si>
    <t>Масштабируемость</t>
  </si>
  <si>
    <t>NPV = 6,912.22</t>
  </si>
  <si>
    <t>NPV = -44,424.65</t>
  </si>
  <si>
    <t>недопустима, NPV = 30,685.19</t>
  </si>
  <si>
    <t>NPV = 8,626.14</t>
  </si>
  <si>
    <t>NPV = 30,685.19</t>
  </si>
  <si>
    <r>
      <t>Ограничение</t>
    </r>
    <r>
      <rPr>
        <sz val="12"/>
        <color theme="1"/>
        <rFont val="Times New Roman"/>
        <family val="1"/>
        <charset val="204"/>
      </rPr>
      <t>: Инвестиции ≤ 190,000 руб.</t>
    </r>
  </si>
  <si>
    <r>
      <t>Критерии и веса</t>
    </r>
    <r>
      <rPr>
        <sz val="12"/>
        <color theme="1"/>
        <rFont val="Times New Roman"/>
        <family val="1"/>
        <charset val="204"/>
      </rPr>
      <t>: NPV (0.45), ROI (0.25), Риск (0.15), Простота (0.1), Масштабируемость (0.05).</t>
    </r>
  </si>
  <si>
    <t>Расчёты</t>
  </si>
  <si>
    <t>ROI, %</t>
  </si>
  <si>
    <t>Допустимость</t>
  </si>
  <si>
    <t>Расчёты Критерии</t>
  </si>
  <si>
    <t>NPV(норм)</t>
  </si>
  <si>
    <t>ROI, %(норм)</t>
  </si>
  <si>
    <t>Риск (норм)</t>
  </si>
  <si>
    <t>Взвешенная сумма</t>
  </si>
  <si>
    <t>Диаграммы</t>
  </si>
  <si>
    <t>NVP, руб</t>
  </si>
  <si>
    <t>Вывод: Лучшая альтернатива - 1, что следует из значений NVP, ROI и взвешенной суммы, также отображённых на графиках</t>
  </si>
  <si>
    <r>
      <t>Проблема:</t>
    </r>
    <r>
      <rPr>
        <sz val="11"/>
        <color theme="1"/>
        <rFont val="Calibri"/>
        <family val="2"/>
        <scheme val="minor"/>
      </rPr>
      <t xml:space="preserve"> предприятию малого бизнеса нужно выбрать облачный сервис для электронного документооборота</t>
    </r>
  </si>
  <si>
    <r>
      <t>Цель:</t>
    </r>
    <r>
      <rPr>
        <sz val="11"/>
        <color theme="1"/>
        <rFont val="Calibri"/>
        <family val="2"/>
        <scheme val="minor"/>
      </rPr>
      <t xml:space="preserve"> минимизировать годовую стоимость и срок внедрения, максимизируя функциональность, удобство интерфейса и надёжность</t>
    </r>
  </si>
  <si>
    <r>
      <t>Ограничения:</t>
    </r>
    <r>
      <rPr>
        <sz val="11"/>
        <color theme="1"/>
        <rFont val="Calibri"/>
        <family val="2"/>
        <scheme val="minor"/>
      </rPr>
      <t xml:space="preserve"> годовая стоимость — не более </t>
    </r>
    <r>
      <rPr>
        <b/>
        <sz val="11"/>
        <color theme="1"/>
        <rFont val="Calibri"/>
        <family val="2"/>
        <scheme val="minor"/>
      </rPr>
      <t>60 000 руб.</t>
    </r>
    <r>
      <rPr>
        <sz val="11"/>
        <color theme="1"/>
        <rFont val="Calibri"/>
        <family val="2"/>
        <scheme val="minor"/>
      </rPr>
      <t xml:space="preserve">; срок внедрения — не более </t>
    </r>
    <r>
      <rPr>
        <b/>
        <sz val="11"/>
        <color theme="1"/>
        <rFont val="Calibri"/>
        <family val="2"/>
        <scheme val="minor"/>
      </rPr>
      <t>30 дней</t>
    </r>
  </si>
  <si>
    <t>Альтернативы</t>
  </si>
  <si>
    <t>Альтернатива</t>
  </si>
  <si>
    <t>Стоимость, руб/год</t>
  </si>
  <si>
    <t>Время внедрения, дн.</t>
  </si>
  <si>
    <t>A1</t>
  </si>
  <si>
    <t>Да</t>
  </si>
  <si>
    <t>A2</t>
  </si>
  <si>
    <t>A3</t>
  </si>
  <si>
    <t>Нет</t>
  </si>
  <si>
    <t>A4</t>
  </si>
  <si>
    <t>A5</t>
  </si>
  <si>
    <t>A6</t>
  </si>
  <si>
    <t>Надёжность</t>
  </si>
  <si>
    <t>Удобство</t>
  </si>
  <si>
    <t>Функциональность</t>
  </si>
  <si>
    <t>А6</t>
  </si>
  <si>
    <t>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</si>
</sst>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₽&quot;;[Red]\-#,##0.00\ &quot;₽&quot;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0" fillId="0" borderId="23" xfId="0" applyBorder="1"/>
    <xf numFmtId="2" fontId="0" fillId="0" borderId="23" xfId="0" applyNumberFormat="1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3" fillId="0" borderId="0" xfId="0" applyFont="1" applyAlignment="1">
      <alignment horizontal="left" vertical="center" indent="2"/>
    </xf>
    <xf numFmtId="0" fontId="0" fillId="3" borderId="0" xfId="0" applyFill="1"/>
    <xf numFmtId="0" fontId="1" fillId="2" borderId="29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0" borderId="0" xfId="0" applyFont="1"/>
    <xf numFmtId="8" fontId="0" fillId="0" borderId="32" xfId="0" applyNumberFormat="1" applyBorder="1"/>
    <xf numFmtId="8" fontId="0" fillId="0" borderId="16" xfId="0" applyNumberFormat="1" applyBorder="1"/>
    <xf numFmtId="8" fontId="0" fillId="0" borderId="17" xfId="0" applyNumberFormat="1" applyBorder="1"/>
    <xf numFmtId="0" fontId="0" fillId="0" borderId="33" xfId="0" applyBorder="1"/>
    <xf numFmtId="0" fontId="0" fillId="0" borderId="32" xfId="0" applyNumberFormat="1" applyBorder="1"/>
    <xf numFmtId="0" fontId="0" fillId="0" borderId="16" xfId="0" applyNumberFormat="1" applyBorder="1"/>
    <xf numFmtId="0" fontId="0" fillId="0" borderId="17" xfId="0" applyNumberFormat="1" applyBorder="1"/>
    <xf numFmtId="2" fontId="0" fillId="0" borderId="27" xfId="0" applyNumberFormat="1" applyBorder="1"/>
    <xf numFmtId="0" fontId="0" fillId="0" borderId="32" xfId="0" applyBorder="1"/>
    <xf numFmtId="2" fontId="0" fillId="4" borderId="33" xfId="0" applyNumberFormat="1" applyFill="1" applyBorder="1"/>
    <xf numFmtId="2" fontId="0" fillId="0" borderId="28" xfId="0" applyNumberFormat="1" applyBorder="1"/>
    <xf numFmtId="2" fontId="0" fillId="0" borderId="32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34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4" fillId="0" borderId="19" xfId="0" applyNumberFormat="1" applyFont="1" applyBorder="1"/>
    <xf numFmtId="0" fontId="5" fillId="0" borderId="0" xfId="0" applyFont="1"/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Лист3!$C$4</c:f>
              <c:strCache>
                <c:ptCount val="1"/>
                <c:pt idx="0">
                  <c:v>NVP, руб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Лист3!$B$5:$B$8</c:f>
              <c:strCache>
                <c:ptCount val="4"/>
                <c:pt idx="0">
                  <c:v>А1</c:v>
                </c:pt>
                <c:pt idx="1">
                  <c:v>А2</c:v>
                </c:pt>
                <c:pt idx="2">
                  <c:v>А4</c:v>
                </c:pt>
                <c:pt idx="3">
                  <c:v>А5</c:v>
                </c:pt>
              </c:strCache>
            </c:strRef>
          </c:cat>
          <c:val>
            <c:numRef>
              <c:f>Лист3!$C$5:$C$8</c:f>
              <c:numCache>
                <c:formatCode>"₽"#,##0.00_);[Red]\("₽"#,##0.00\)</c:formatCode>
                <c:ptCount val="4"/>
                <c:pt idx="0">
                  <c:v>44830.9541697971</c:v>
                </c:pt>
                <c:pt idx="1">
                  <c:v>13626.13887411014</c:v>
                </c:pt>
                <c:pt idx="2">
                  <c:v>-34424.648129463254</c:v>
                </c:pt>
                <c:pt idx="3">
                  <c:v>11912.215865436199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BE-4D85-82B2-484A52311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8276239"/>
        <c:axId val="1248278319"/>
      </c:barChart>
      <c:catAx>
        <c:axId val="1248276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8278319"/>
        <c:crosses val="autoZero"/>
        <c:auto val="1"/>
        <c:lblAlgn val="ctr"/>
        <c:lblOffset val="100"/>
        <c:noMultiLvlLbl val="0"/>
      </c:catAx>
      <c:valAx>
        <c:axId val="124827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₽&quot;#,##0.00_);[Red]\(&quot;₽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8276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Лист3!$D$4</c:f>
              <c:strCache>
                <c:ptCount val="1"/>
                <c:pt idx="0">
                  <c:v>ROI,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Лист3!$B$5:$B$8</c:f>
              <c:strCache>
                <c:ptCount val="4"/>
                <c:pt idx="0">
                  <c:v>А1</c:v>
                </c:pt>
                <c:pt idx="1">
                  <c:v>А2</c:v>
                </c:pt>
                <c:pt idx="2">
                  <c:v>А4</c:v>
                </c:pt>
                <c:pt idx="3">
                  <c:v>А5</c:v>
                </c:pt>
              </c:strCache>
            </c:strRef>
          </c:cat>
          <c:val>
            <c:numRef>
              <c:f>Лист3!$D$5:$D$8</c:f>
              <c:numCache>
                <c:formatCode>0.00</c:formatCode>
                <c:ptCount val="4"/>
                <c:pt idx="0">
                  <c:v>34.485349361382383</c:v>
                </c:pt>
                <c:pt idx="1">
                  <c:v>14.343304078010673</c:v>
                </c:pt>
                <c:pt idx="2">
                  <c:v>-20.249793017331324</c:v>
                </c:pt>
                <c:pt idx="3">
                  <c:v>10.358448578640173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FA-484D-AA6E-29AC07467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5958415"/>
        <c:axId val="945957167"/>
      </c:barChart>
      <c:catAx>
        <c:axId val="94595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5957167"/>
        <c:crosses val="autoZero"/>
        <c:auto val="1"/>
        <c:lblAlgn val="ctr"/>
        <c:lblOffset val="100"/>
        <c:noMultiLvlLbl val="0"/>
      </c:catAx>
      <c:valAx>
        <c:axId val="94595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4595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Лист3!$E$4</c:f>
              <c:strCache>
                <c:ptCount val="1"/>
                <c:pt idx="0">
                  <c:v>Взвешенная сумма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Лист3!$B$5:$B$8</c:f>
              <c:strCache>
                <c:ptCount val="4"/>
                <c:pt idx="0">
                  <c:v>А1</c:v>
                </c:pt>
                <c:pt idx="1">
                  <c:v>А2</c:v>
                </c:pt>
                <c:pt idx="2">
                  <c:v>А4</c:v>
                </c:pt>
                <c:pt idx="3">
                  <c:v>А5</c:v>
                </c:pt>
              </c:strCache>
            </c:strRef>
          </c:cat>
          <c:val>
            <c:numRef>
              <c:f>Лист3!$E$5:$E$8</c:f>
              <c:numCache>
                <c:formatCode>0.00</c:formatCode>
                <c:ptCount val="4"/>
                <c:pt idx="0">
                  <c:v>4.5</c:v>
                </c:pt>
                <c:pt idx="1">
                  <c:v>3.6233060960681391</c:v>
                </c:pt>
                <c:pt idx="2">
                  <c:v>1.85</c:v>
                </c:pt>
                <c:pt idx="3">
                  <c:v>3.2615781225973075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95-4412-A7AF-70073C3EF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6217183"/>
        <c:axId val="1246217599"/>
      </c:barChart>
      <c:catAx>
        <c:axId val="1246217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6217599"/>
        <c:crosses val="autoZero"/>
        <c:auto val="1"/>
        <c:lblAlgn val="ctr"/>
        <c:lblOffset val="100"/>
        <c:noMultiLvlLbl val="0"/>
      </c:catAx>
      <c:valAx>
        <c:axId val="124621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46217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4</xdr:col>
      <xdr:colOff>609600</xdr:colOff>
      <xdr:row>24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A245653-1FEE-4743-A902-7A8B65B2DE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623886</xdr:colOff>
      <xdr:row>10</xdr:row>
      <xdr:rowOff>9525</xdr:rowOff>
    </xdr:from>
    <xdr:to>
      <xdr:col>7</xdr:col>
      <xdr:colOff>476249</xdr:colOff>
      <xdr:row>24</xdr:row>
      <xdr:rowOff>85725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04F957C-F1F9-45DD-B2BC-AE776B9BD3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442913</xdr:colOff>
      <xdr:row>10</xdr:row>
      <xdr:rowOff>9525</xdr:rowOff>
    </xdr:from>
    <xdr:to>
      <xdr:col>12</xdr:col>
      <xdr:colOff>590551</xdr:colOff>
      <xdr:row>24</xdr:row>
      <xdr:rowOff>85725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0DA9F9C-9BC1-4807-A13E-83C9D3EABB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"/>
  <sheetViews>
    <sheetView workbookViewId="0">
      <selection activeCell="B4" sqref="B4"/>
    </sheetView>
  </sheetViews>
  <sheetFormatPr defaultRowHeight="14.4" x14ac:dyDescent="0.3"/>
  <cols>
    <col min="2" max="2" width="13.33203125" customWidth="1"/>
    <col min="3" max="3" width="9.88671875" customWidth="1"/>
    <col min="4" max="4" width="6.44140625" customWidth="1"/>
    <col min="5" max="5" width="12.44140625" customWidth="1"/>
  </cols>
  <sheetData>
    <row r="2" spans="2:5" x14ac:dyDescent="0.3">
      <c r="B2" t="s">
        <v>0</v>
      </c>
      <c r="C2" t="s">
        <v>1</v>
      </c>
      <c r="D2" t="s">
        <v>2</v>
      </c>
      <c r="E2" s="1">
        <v>46266</v>
      </c>
    </row>
    <row r="3" spans="2:5" x14ac:dyDescent="0.3"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B7E10-D1C7-4FC5-B37D-2540019431F5}">
  <dimension ref="A1:M32"/>
  <sheetViews>
    <sheetView workbookViewId="0">
      <selection activeCell="E16" sqref="E16"/>
    </sheetView>
  </sheetViews>
  <sheetFormatPr defaultRowHeight="14.4" x14ac:dyDescent="0.3"/>
  <cols>
    <col min="1" max="1" width="15.33203125" customWidth="1"/>
    <col min="2" max="2" width="20.33203125" customWidth="1"/>
    <col min="3" max="3" width="13.5546875" customWidth="1"/>
    <col min="4" max="4" width="19.88671875" customWidth="1"/>
    <col min="5" max="5" width="14.88671875" customWidth="1"/>
    <col min="6" max="6" width="11.88671875" customWidth="1"/>
    <col min="7" max="7" width="21.6640625" customWidth="1"/>
    <col min="8" max="8" width="21.88671875" customWidth="1"/>
    <col min="9" max="9" width="8" customWidth="1"/>
    <col min="10" max="10" width="9.33203125" bestFit="1" customWidth="1"/>
    <col min="11" max="11" width="19.109375" bestFit="1" customWidth="1"/>
  </cols>
  <sheetData>
    <row r="1" spans="1:13" ht="27.75" customHeight="1" thickBot="1" x14ac:dyDescent="0.35">
      <c r="A1" s="25" t="s">
        <v>4</v>
      </c>
      <c r="B1" s="26" t="s">
        <v>5</v>
      </c>
      <c r="C1" s="57" t="s">
        <v>6</v>
      </c>
      <c r="D1" s="58"/>
      <c r="E1" s="58"/>
      <c r="F1" s="59"/>
      <c r="G1" s="27" t="s">
        <v>7</v>
      </c>
      <c r="H1" s="26" t="s">
        <v>8</v>
      </c>
      <c r="I1" s="27" t="s">
        <v>9</v>
      </c>
      <c r="J1" s="26" t="s">
        <v>10</v>
      </c>
      <c r="K1" s="28" t="s">
        <v>16</v>
      </c>
    </row>
    <row r="2" spans="1:13" ht="15.6" x14ac:dyDescent="0.3">
      <c r="A2" s="12" t="s">
        <v>11</v>
      </c>
      <c r="B2" s="15">
        <v>130000</v>
      </c>
      <c r="C2" s="9">
        <v>70000</v>
      </c>
      <c r="D2" s="10">
        <v>80000</v>
      </c>
      <c r="E2" s="10">
        <v>60000</v>
      </c>
      <c r="F2" s="11"/>
      <c r="G2" s="18">
        <v>0.1</v>
      </c>
      <c r="H2" s="15">
        <v>3</v>
      </c>
      <c r="I2" s="18">
        <v>3</v>
      </c>
      <c r="J2" s="15">
        <v>4</v>
      </c>
      <c r="K2" s="22">
        <v>5</v>
      </c>
      <c r="M2" s="2" t="s">
        <v>21</v>
      </c>
    </row>
    <row r="3" spans="1:13" ht="15.6" x14ac:dyDescent="0.3">
      <c r="A3" s="13" t="s">
        <v>12</v>
      </c>
      <c r="B3" s="16">
        <v>95000</v>
      </c>
      <c r="C3" s="4">
        <v>40000</v>
      </c>
      <c r="D3" s="3">
        <v>35000</v>
      </c>
      <c r="E3" s="3">
        <v>55000</v>
      </c>
      <c r="F3" s="5"/>
      <c r="G3" s="19">
        <v>0.09</v>
      </c>
      <c r="H3" s="16">
        <v>3</v>
      </c>
      <c r="I3" s="19">
        <v>2</v>
      </c>
      <c r="J3" s="16">
        <v>5</v>
      </c>
      <c r="K3" s="23">
        <v>3</v>
      </c>
      <c r="M3" s="2" t="s">
        <v>20</v>
      </c>
    </row>
    <row r="4" spans="1:13" ht="15.6" x14ac:dyDescent="0.3">
      <c r="A4" s="13" t="s">
        <v>13</v>
      </c>
      <c r="B4" s="16">
        <v>210000</v>
      </c>
      <c r="C4" s="4">
        <v>90000</v>
      </c>
      <c r="D4" s="3">
        <v>100000</v>
      </c>
      <c r="E4" s="3">
        <v>80000</v>
      </c>
      <c r="F4" s="5"/>
      <c r="G4" s="20">
        <v>0.08</v>
      </c>
      <c r="H4" s="16">
        <v>3</v>
      </c>
      <c r="I4" s="19">
        <v>4</v>
      </c>
      <c r="J4" s="16">
        <v>2</v>
      </c>
      <c r="K4" s="23">
        <v>4</v>
      </c>
      <c r="M4" s="2" t="s">
        <v>19</v>
      </c>
    </row>
    <row r="5" spans="1:13" ht="15.6" x14ac:dyDescent="0.3">
      <c r="A5" s="13" t="s">
        <v>14</v>
      </c>
      <c r="B5" s="16">
        <v>170000</v>
      </c>
      <c r="C5" s="4">
        <v>30000</v>
      </c>
      <c r="D5" s="3">
        <v>40000</v>
      </c>
      <c r="E5" s="3">
        <v>50000</v>
      </c>
      <c r="F5" s="5">
        <v>60000</v>
      </c>
      <c r="G5" s="19">
        <v>0.11</v>
      </c>
      <c r="H5" s="16">
        <v>4</v>
      </c>
      <c r="I5" s="19">
        <v>1</v>
      </c>
      <c r="J5" s="16">
        <v>3</v>
      </c>
      <c r="K5" s="23">
        <v>2</v>
      </c>
      <c r="M5" s="2" t="s">
        <v>18</v>
      </c>
    </row>
    <row r="6" spans="1:13" ht="16.2" thickBot="1" x14ac:dyDescent="0.35">
      <c r="A6" s="14" t="s">
        <v>15</v>
      </c>
      <c r="B6" s="17">
        <v>115000</v>
      </c>
      <c r="C6" s="6">
        <v>50000</v>
      </c>
      <c r="D6" s="7">
        <v>55000</v>
      </c>
      <c r="E6" s="7">
        <v>45000</v>
      </c>
      <c r="F6" s="8"/>
      <c r="G6" s="21">
        <v>0.09</v>
      </c>
      <c r="H6" s="17">
        <v>3</v>
      </c>
      <c r="I6" s="21">
        <v>3</v>
      </c>
      <c r="J6" s="17">
        <v>4</v>
      </c>
      <c r="K6" s="24">
        <v>4</v>
      </c>
      <c r="M6" s="2" t="s">
        <v>17</v>
      </c>
    </row>
    <row r="8" spans="1:13" ht="15.6" x14ac:dyDescent="0.3">
      <c r="A8" s="29" t="s">
        <v>22</v>
      </c>
    </row>
    <row r="9" spans="1:13" ht="15.6" x14ac:dyDescent="0.3">
      <c r="A9" s="29" t="s">
        <v>23</v>
      </c>
    </row>
    <row r="11" spans="1:13" s="30" customFormat="1" ht="2.25" customHeight="1" x14ac:dyDescent="0.3"/>
    <row r="12" spans="1:13" x14ac:dyDescent="0.3">
      <c r="A12" s="34" t="s">
        <v>24</v>
      </c>
    </row>
    <row r="13" spans="1:13" ht="15" thickBot="1" x14ac:dyDescent="0.35"/>
    <row r="14" spans="1:13" ht="24.75" customHeight="1" thickBot="1" x14ac:dyDescent="0.35">
      <c r="A14" s="25" t="s">
        <v>4</v>
      </c>
      <c r="B14" s="26" t="s">
        <v>5</v>
      </c>
      <c r="C14" s="31" t="s">
        <v>33</v>
      </c>
      <c r="D14" s="32" t="s">
        <v>25</v>
      </c>
      <c r="E14" s="33" t="s">
        <v>26</v>
      </c>
    </row>
    <row r="15" spans="1:13" x14ac:dyDescent="0.3">
      <c r="A15" s="12" t="s">
        <v>11</v>
      </c>
      <c r="B15" s="12">
        <v>130000</v>
      </c>
      <c r="C15" s="35">
        <f>NPV(G2,C2:E2)-B2</f>
        <v>44830.9541697971</v>
      </c>
      <c r="D15" s="49">
        <f>(C15/B15)*100</f>
        <v>34.485349361382383</v>
      </c>
      <c r="E15" s="38" t="str">
        <f>IF(B15&lt;=190000,"да","нет")</f>
        <v>да</v>
      </c>
    </row>
    <row r="16" spans="1:13" x14ac:dyDescent="0.3">
      <c r="A16" s="13" t="s">
        <v>12</v>
      </c>
      <c r="B16" s="13">
        <v>95000</v>
      </c>
      <c r="C16" s="36">
        <f t="shared" ref="C16:C19" si="0">NPV(G3,C3:E3)-B3</f>
        <v>13626.13887411014</v>
      </c>
      <c r="D16" s="50">
        <f t="shared" ref="D16:D19" si="1">(C16/B16)*100</f>
        <v>14.343304078010673</v>
      </c>
      <c r="E16" s="23" t="str">
        <f t="shared" ref="E16:E19" si="2">IF(B16&lt;=190000,"да","нет")</f>
        <v>да</v>
      </c>
    </row>
    <row r="17" spans="1:8" x14ac:dyDescent="0.3">
      <c r="A17" s="13" t="s">
        <v>13</v>
      </c>
      <c r="B17" s="13">
        <v>210000</v>
      </c>
      <c r="C17" s="36">
        <f t="shared" si="0"/>
        <v>22573.794645125221</v>
      </c>
      <c r="D17" s="50">
        <f t="shared" si="1"/>
        <v>10.749426021488201</v>
      </c>
      <c r="E17" s="23" t="str">
        <f t="shared" si="2"/>
        <v>нет</v>
      </c>
    </row>
    <row r="18" spans="1:8" x14ac:dyDescent="0.3">
      <c r="A18" s="13" t="s">
        <v>14</v>
      </c>
      <c r="B18" s="13">
        <v>170000</v>
      </c>
      <c r="C18" s="36">
        <f>NPV(G5,C5:F5)-B5</f>
        <v>-34424.648129463254</v>
      </c>
      <c r="D18" s="52">
        <f t="shared" si="1"/>
        <v>-20.249793017331324</v>
      </c>
      <c r="E18" s="23" t="str">
        <f t="shared" si="2"/>
        <v>да</v>
      </c>
    </row>
    <row r="19" spans="1:8" ht="15" thickBot="1" x14ac:dyDescent="0.35">
      <c r="A19" s="14" t="s">
        <v>15</v>
      </c>
      <c r="B19" s="14">
        <v>115000</v>
      </c>
      <c r="C19" s="37">
        <f t="shared" si="0"/>
        <v>11912.215865436199</v>
      </c>
      <c r="D19" s="51">
        <f t="shared" si="1"/>
        <v>10.358448578640173</v>
      </c>
      <c r="E19" s="24" t="str">
        <f t="shared" si="2"/>
        <v>да</v>
      </c>
    </row>
    <row r="21" spans="1:8" s="30" customFormat="1" ht="2.25" customHeight="1" x14ac:dyDescent="0.3"/>
    <row r="23" spans="1:8" x14ac:dyDescent="0.3">
      <c r="A23" s="34" t="s">
        <v>27</v>
      </c>
    </row>
    <row r="24" spans="1:8" ht="15" thickBot="1" x14ac:dyDescent="0.35"/>
    <row r="25" spans="1:8" ht="22.5" customHeight="1" thickBot="1" x14ac:dyDescent="0.35">
      <c r="A25" s="31" t="s">
        <v>4</v>
      </c>
      <c r="B25" s="32" t="s">
        <v>28</v>
      </c>
      <c r="C25" s="31" t="s">
        <v>29</v>
      </c>
      <c r="D25" s="32" t="s">
        <v>9</v>
      </c>
      <c r="E25" s="33" t="s">
        <v>30</v>
      </c>
      <c r="F25" s="32" t="s">
        <v>10</v>
      </c>
      <c r="G25" s="33" t="s">
        <v>16</v>
      </c>
      <c r="H25" s="33" t="s">
        <v>31</v>
      </c>
    </row>
    <row r="26" spans="1:8" x14ac:dyDescent="0.3">
      <c r="A26" s="43" t="s">
        <v>11</v>
      </c>
      <c r="B26" s="46">
        <f>(C15-MIN($C$15:$C$19))/(MAX($C$15:$C$19)-MIN($C$15:$C$19))*4+1</f>
        <v>5</v>
      </c>
      <c r="C26" s="46">
        <f>(D15-MIN($D$15:$D$19))/(MAX($D$15:$D$19)-MIN($D$15:$D$19))*4+1</f>
        <v>5</v>
      </c>
      <c r="D26" s="39">
        <v>3</v>
      </c>
      <c r="E26" s="49">
        <f>(MAX($I$2:$I$6)-D26)/(MAX($I$2:$I$6)-MIN($I$2:$I$6))*4+1</f>
        <v>2.333333333333333</v>
      </c>
      <c r="F26" s="38">
        <v>4</v>
      </c>
      <c r="G26" s="38">
        <v>5</v>
      </c>
      <c r="H26" s="44">
        <f>B26*0.45+C26*0.25+E26*0.15+F26*0.1+G26*0.05</f>
        <v>4.5</v>
      </c>
    </row>
    <row r="27" spans="1:8" x14ac:dyDescent="0.3">
      <c r="A27" s="13" t="s">
        <v>12</v>
      </c>
      <c r="B27" s="47">
        <f t="shared" ref="B27" si="3">(C16-MIN($C$15:$C$19))/(MAX($C$15:$C$19)-MIN($C$15:$C$19))*4+1</f>
        <v>3.4251048814007601</v>
      </c>
      <c r="C27" s="47">
        <f t="shared" ref="C27" si="4">(D16-MIN($D$15:$D$19))/(MAX($D$15:$D$19)-MIN($D$15:$D$19))*4+1</f>
        <v>3.5280355977511899</v>
      </c>
      <c r="D27" s="40">
        <v>2</v>
      </c>
      <c r="E27" s="50">
        <f t="shared" ref="E27:E29" si="5">(MAX($I$2:$I$6)-D27)/(MAX($I$2:$I$6)-MIN($I$2:$I$6))*4+1</f>
        <v>3.6666666666666665</v>
      </c>
      <c r="F27" s="23">
        <v>5</v>
      </c>
      <c r="G27" s="23">
        <v>3</v>
      </c>
      <c r="H27" s="42">
        <f t="shared" ref="H27:H29" si="6">B27*0.45+C27*0.25+E27*0.15+F27*0.1+G27*0.05</f>
        <v>3.6233060960681391</v>
      </c>
    </row>
    <row r="28" spans="1:8" x14ac:dyDescent="0.3">
      <c r="A28" s="13" t="s">
        <v>14</v>
      </c>
      <c r="B28" s="47">
        <f>(C18-MIN($C$15:$C$19))/(MAX($C$15:$C$19)-MIN($C$15:$C$19))*4+1</f>
        <v>1</v>
      </c>
      <c r="C28" s="47">
        <f>(D18-MIN($D$15:$D$19))/(MAX($D$15:$D$19)-MIN($D$15:$D$19))*4+1</f>
        <v>1</v>
      </c>
      <c r="D28" s="40">
        <v>1</v>
      </c>
      <c r="E28" s="50">
        <f t="shared" si="5"/>
        <v>5</v>
      </c>
      <c r="F28" s="23">
        <v>3</v>
      </c>
      <c r="G28" s="23">
        <v>2</v>
      </c>
      <c r="H28" s="42">
        <f t="shared" si="6"/>
        <v>1.85</v>
      </c>
    </row>
    <row r="29" spans="1:8" ht="15" thickBot="1" x14ac:dyDescent="0.35">
      <c r="A29" s="14" t="s">
        <v>15</v>
      </c>
      <c r="B29" s="48">
        <f>(C19-MIN($C$15:$C$19))/(MAX($C$15:$C$19)-MIN($C$15:$C$19))*4+1</f>
        <v>3.338603841274796</v>
      </c>
      <c r="C29" s="48">
        <f>(D19-MIN($D$15:$D$19))/(MAX($D$15:$D$19)-MIN($D$15:$D$19))*4+1</f>
        <v>3.2368255760945956</v>
      </c>
      <c r="D29" s="41">
        <v>3</v>
      </c>
      <c r="E29" s="51">
        <f t="shared" si="5"/>
        <v>2.333333333333333</v>
      </c>
      <c r="F29" s="24">
        <v>4</v>
      </c>
      <c r="G29" s="24">
        <v>4</v>
      </c>
      <c r="H29" s="45">
        <f t="shared" si="6"/>
        <v>3.2615781225973075</v>
      </c>
    </row>
    <row r="32" spans="1:8" s="30" customFormat="1" ht="2.25" customHeight="1" x14ac:dyDescent="0.3"/>
  </sheetData>
  <mergeCells count="1">
    <mergeCell ref="C1:F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68A4B-164D-46DA-A40A-429ADADE0CEE}">
  <dimension ref="B2:E27"/>
  <sheetViews>
    <sheetView zoomScale="85" zoomScaleNormal="85" workbookViewId="0">
      <selection activeCell="N15" sqref="N15"/>
    </sheetView>
  </sheetViews>
  <sheetFormatPr defaultRowHeight="14.4" x14ac:dyDescent="0.3"/>
  <cols>
    <col min="3" max="3" width="18.5546875" customWidth="1"/>
    <col min="4" max="4" width="14.5546875" customWidth="1"/>
    <col min="5" max="5" width="28.5546875" customWidth="1"/>
  </cols>
  <sheetData>
    <row r="2" spans="2:5" x14ac:dyDescent="0.3">
      <c r="B2" s="34" t="s">
        <v>32</v>
      </c>
    </row>
    <row r="3" spans="2:5" ht="15" thickBot="1" x14ac:dyDescent="0.35"/>
    <row r="4" spans="2:5" ht="15" thickBot="1" x14ac:dyDescent="0.35">
      <c r="B4" s="31" t="s">
        <v>4</v>
      </c>
      <c r="C4" s="31" t="s">
        <v>33</v>
      </c>
      <c r="D4" s="32" t="s">
        <v>25</v>
      </c>
      <c r="E4" s="33" t="s">
        <v>31</v>
      </c>
    </row>
    <row r="5" spans="2:5" x14ac:dyDescent="0.3">
      <c r="B5" s="43" t="s">
        <v>11</v>
      </c>
      <c r="C5" s="35">
        <v>44830.9541697971</v>
      </c>
      <c r="D5" s="49">
        <v>34.485349361382383</v>
      </c>
      <c r="E5" s="44">
        <v>4.5</v>
      </c>
    </row>
    <row r="6" spans="2:5" x14ac:dyDescent="0.3">
      <c r="B6" s="13" t="s">
        <v>12</v>
      </c>
      <c r="C6" s="36">
        <v>13626.13887411014</v>
      </c>
      <c r="D6" s="50">
        <v>14.343304078010673</v>
      </c>
      <c r="E6" s="42">
        <v>3.6233060960681391</v>
      </c>
    </row>
    <row r="7" spans="2:5" x14ac:dyDescent="0.3">
      <c r="B7" s="13" t="s">
        <v>14</v>
      </c>
      <c r="C7" s="36">
        <v>-34424.648129463254</v>
      </c>
      <c r="D7" s="52">
        <v>-20.249793017331324</v>
      </c>
      <c r="E7" s="42">
        <v>1.85</v>
      </c>
    </row>
    <row r="8" spans="2:5" ht="15" thickBot="1" x14ac:dyDescent="0.35">
      <c r="B8" s="14" t="s">
        <v>15</v>
      </c>
      <c r="C8" s="37">
        <v>11912.215865436199</v>
      </c>
      <c r="D8" s="51">
        <v>10.358448578640173</v>
      </c>
      <c r="E8" s="45">
        <v>3.2615781225973075</v>
      </c>
    </row>
    <row r="27" spans="2:2" x14ac:dyDescent="0.3">
      <c r="B27" t="s">
        <v>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243DE-92B3-4AD9-A303-C173718EE49B}">
  <dimension ref="A2:F23"/>
  <sheetViews>
    <sheetView tabSelected="1" workbookViewId="0">
      <selection activeCell="D18" sqref="D18"/>
    </sheetView>
  </sheetViews>
  <sheetFormatPr defaultRowHeight="14.4" x14ac:dyDescent="0.3"/>
  <cols>
    <col min="1" max="1" width="18.109375" customWidth="1"/>
    <col min="2" max="2" width="23.33203125" customWidth="1"/>
    <col min="3" max="3" width="24" customWidth="1"/>
    <col min="4" max="4" width="21.77734375" customWidth="1"/>
    <col min="5" max="5" width="14.21875" customWidth="1"/>
    <col min="6" max="6" width="15.5546875" customWidth="1"/>
    <col min="7" max="7" width="17.77734375" customWidth="1"/>
  </cols>
  <sheetData>
    <row r="2" spans="1:6" x14ac:dyDescent="0.3">
      <c r="B2" s="53" t="s">
        <v>35</v>
      </c>
    </row>
    <row r="3" spans="1:6" x14ac:dyDescent="0.3">
      <c r="B3" s="53" t="s">
        <v>36</v>
      </c>
    </row>
    <row r="4" spans="1:6" x14ac:dyDescent="0.3">
      <c r="B4" s="53" t="s">
        <v>37</v>
      </c>
    </row>
    <row r="6" spans="1:6" x14ac:dyDescent="0.3">
      <c r="A6" t="s">
        <v>38</v>
      </c>
    </row>
    <row r="7" spans="1:6" ht="29.4" customHeight="1" x14ac:dyDescent="0.3">
      <c r="A7" s="55" t="s">
        <v>39</v>
      </c>
      <c r="B7" s="55" t="s">
        <v>40</v>
      </c>
      <c r="C7" s="55" t="s">
        <v>41</v>
      </c>
      <c r="D7" s="55" t="s">
        <v>52</v>
      </c>
      <c r="E7" s="55" t="s">
        <v>51</v>
      </c>
      <c r="F7" s="55" t="s">
        <v>50</v>
      </c>
    </row>
    <row r="8" spans="1:6" x14ac:dyDescent="0.3">
      <c r="A8" s="54" t="s">
        <v>42</v>
      </c>
      <c r="B8" s="56">
        <v>45000</v>
      </c>
      <c r="C8" s="54">
        <v>20</v>
      </c>
      <c r="D8" s="54">
        <v>4</v>
      </c>
      <c r="E8" s="54">
        <v>5</v>
      </c>
      <c r="F8" s="54">
        <v>4</v>
      </c>
    </row>
    <row r="9" spans="1:6" x14ac:dyDescent="0.3">
      <c r="A9" s="54" t="s">
        <v>44</v>
      </c>
      <c r="B9" s="56">
        <v>55000</v>
      </c>
      <c r="C9" s="54">
        <v>25</v>
      </c>
      <c r="D9" s="54">
        <v>5</v>
      </c>
      <c r="E9" s="54">
        <v>4</v>
      </c>
      <c r="F9" s="54">
        <v>5</v>
      </c>
    </row>
    <row r="10" spans="1:6" x14ac:dyDescent="0.3">
      <c r="A10" s="54" t="s">
        <v>45</v>
      </c>
      <c r="B10" s="56">
        <v>70000</v>
      </c>
      <c r="C10" s="54">
        <v>15</v>
      </c>
      <c r="D10" s="54">
        <v>5</v>
      </c>
      <c r="E10" s="54">
        <v>5</v>
      </c>
      <c r="F10" s="54">
        <v>5</v>
      </c>
    </row>
    <row r="11" spans="1:6" x14ac:dyDescent="0.3">
      <c r="A11" s="54" t="s">
        <v>47</v>
      </c>
      <c r="B11" s="56">
        <v>38000</v>
      </c>
      <c r="C11" s="54">
        <v>28</v>
      </c>
      <c r="D11" s="54">
        <v>3</v>
      </c>
      <c r="E11" s="54">
        <v>3</v>
      </c>
      <c r="F11" s="54">
        <v>4</v>
      </c>
    </row>
    <row r="12" spans="1:6" x14ac:dyDescent="0.3">
      <c r="A12" s="54" t="s">
        <v>48</v>
      </c>
      <c r="B12" s="56">
        <v>50000</v>
      </c>
      <c r="C12" s="54">
        <v>22</v>
      </c>
      <c r="D12" s="54">
        <v>4</v>
      </c>
      <c r="E12" s="54">
        <v>4</v>
      </c>
      <c r="F12" s="54">
        <v>3</v>
      </c>
    </row>
    <row r="13" spans="1:6" x14ac:dyDescent="0.3">
      <c r="A13" s="54" t="s">
        <v>49</v>
      </c>
      <c r="B13" s="56">
        <v>60000</v>
      </c>
      <c r="C13" s="54">
        <v>30</v>
      </c>
      <c r="D13" s="54">
        <v>2</v>
      </c>
      <c r="E13" s="54">
        <v>5</v>
      </c>
      <c r="F13" s="54">
        <v>4</v>
      </c>
    </row>
    <row r="17" spans="1:4" x14ac:dyDescent="0.3">
      <c r="A17" s="60" t="s">
        <v>39</v>
      </c>
      <c r="B17" s="60" t="s">
        <v>40</v>
      </c>
      <c r="C17" s="60" t="s">
        <v>41</v>
      </c>
      <c r="D17" s="55" t="s">
        <v>26</v>
      </c>
    </row>
    <row r="18" spans="1:4" x14ac:dyDescent="0.3">
      <c r="A18" s="60" t="s">
        <v>11</v>
      </c>
      <c r="B18" s="61">
        <v>45000</v>
      </c>
      <c r="C18" s="60">
        <v>20</v>
      </c>
      <c r="D18" s="54" t="s">
        <v>43</v>
      </c>
    </row>
    <row r="19" spans="1:4" x14ac:dyDescent="0.3">
      <c r="A19" s="60" t="s">
        <v>12</v>
      </c>
      <c r="B19" s="61">
        <v>55000</v>
      </c>
      <c r="C19" s="60">
        <v>25</v>
      </c>
      <c r="D19" s="54" t="s">
        <v>43</v>
      </c>
    </row>
    <row r="20" spans="1:4" x14ac:dyDescent="0.3">
      <c r="A20" s="60" t="s">
        <v>13</v>
      </c>
      <c r="B20" s="61">
        <v>70000</v>
      </c>
      <c r="C20" s="60">
        <v>15</v>
      </c>
      <c r="D20" s="54" t="s">
        <v>46</v>
      </c>
    </row>
    <row r="21" spans="1:4" x14ac:dyDescent="0.3">
      <c r="A21" s="60" t="s">
        <v>14</v>
      </c>
      <c r="B21" s="61">
        <v>38000</v>
      </c>
      <c r="C21" s="60">
        <v>28</v>
      </c>
      <c r="D21" s="54" t="s">
        <v>43</v>
      </c>
    </row>
    <row r="22" spans="1:4" x14ac:dyDescent="0.3">
      <c r="A22" s="60" t="s">
        <v>15</v>
      </c>
      <c r="B22" s="61">
        <v>50000</v>
      </c>
      <c r="C22" s="60">
        <v>22</v>
      </c>
      <c r="D22" s="54" t="s">
        <v>43</v>
      </c>
    </row>
    <row r="23" spans="1:4" x14ac:dyDescent="0.3">
      <c r="A23" s="60" t="s">
        <v>53</v>
      </c>
      <c r="B23" s="61">
        <v>60000</v>
      </c>
      <c r="C23" s="60">
        <v>30</v>
      </c>
      <c r="D23" s="54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6D22C-8AB0-4C69-980A-2596C8998690}">
  <dimension ref="D18"/>
  <sheetViews>
    <sheetView workbookViewId="0">
      <selection activeCell="D21" sqref="D21"/>
    </sheetView>
  </sheetViews>
  <sheetFormatPr defaultRowHeight="14.4" x14ac:dyDescent="0.3"/>
  <sheetData>
    <row r="18" spans="4:4" x14ac:dyDescent="0.3">
      <c r="D1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Лист3</vt:lpstr>
      <vt:lpstr>Лист 4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ITStud</dc:creator>
  <cp:lastModifiedBy>Admin Admin</cp:lastModifiedBy>
  <dcterms:created xsi:type="dcterms:W3CDTF">2015-06-05T18:19:34Z</dcterms:created>
  <dcterms:modified xsi:type="dcterms:W3CDTF">2026-09-15T11:58:55Z</dcterms:modified>
</cp:coreProperties>
</file>